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IS" sheetId="2" r:id="rId2"/>
    <sheet name="BS" sheetId="3" r:id="rId3"/>
    <sheet name="CF" sheetId="4" r:id="rId4"/>
    <sheet name="Ratios" sheetId="5" r:id="rId5"/>
  </sheets>
  <calcPr calcId="0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#,##0"/>
    <numFmt numFmtId="167" formatCode="0.0&quot;x&quot;"/>
    <numFmt numFmtId="168" formatCode="&quot;$&quot;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FormatPr defaultRowHeight="15"/>
  <cols>
    <col min="1" max="1" width="40" customWidth="1"/>
    <col min="2" max="6" width="13" customWidth="1"/>
  </cols>
  <sheetData>
    <row r="1">
      <c r="A1" s="1" t="inlineStr">
        <is>
          <t xml:space="preserve">Year</t>
        </is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</row>
    <row r="2">
      <c r="A2" s="0" t="inlineStr">
        <is>
          <t xml:space="preserve">Revenue Growth %</t>
        </is>
      </c>
      <c r="C2" s="4">
        <f>C3+C4</f>
        <v>0.05</v>
      </c>
      <c r="D2" s="4">
        <f>D3+D4</f>
        <v>0.045</v>
      </c>
      <c r="E2" s="4">
        <f>E3+E4</f>
        <v>0.04</v>
      </c>
      <c r="F2" s="4">
        <f>F3+F4</f>
        <v>0.04</v>
      </c>
    </row>
    <row r="3">
      <c r="A3" s="0" t="inlineStr">
        <is>
          <t xml:space="preserve">Same Store Sales %</t>
        </is>
      </c>
      <c r="B3" s="4">
        <v>0.03</v>
      </c>
      <c r="C3" s="4">
        <v>0.035</v>
      </c>
      <c r="D3" s="4">
        <v>0.03</v>
      </c>
      <c r="E3" s="4">
        <v>0.025</v>
      </c>
      <c r="F3" s="4">
        <v>0.025</v>
      </c>
    </row>
    <row r="4">
      <c r="A4" s="0" t="inlineStr">
        <is>
          <t xml:space="preserve">New Store Growth %</t>
        </is>
      </c>
      <c r="B4" s="4">
        <v>0.02</v>
      </c>
      <c r="C4" s="4">
        <v>0.015</v>
      </c>
      <c r="D4" s="4">
        <v>0.015</v>
      </c>
      <c r="E4" s="4">
        <v>0.015</v>
      </c>
      <c r="F4" s="4">
        <v>0.015</v>
      </c>
    </row>
    <row r="5">
      <c r="A5" s="0" t="inlineStr">
        <is>
          <t xml:space="preserve">EBITDA Margin %</t>
        </is>
      </c>
      <c r="B5" s="4">
        <v>0.35</v>
      </c>
      <c r="C5" s="4">
        <v>0.355</v>
      </c>
      <c r="D5" s="4">
        <v>0.36</v>
      </c>
      <c r="E5" s="4">
        <v>0.365</v>
      </c>
      <c r="F5" s="4">
        <v>0.37</v>
      </c>
    </row>
    <row r="6">
      <c r="A6" s="0" t="inlineStr">
        <is>
          <t xml:space="preserve">Depreciation % of Revenue</t>
        </is>
      </c>
      <c r="B6" s="4">
        <v>0.05</v>
      </c>
      <c r="C6" s="4">
        <v>0.05</v>
      </c>
      <c r="D6" s="4">
        <v>0.05</v>
      </c>
      <c r="E6" s="4">
        <v>0.05</v>
      </c>
      <c r="F6" s="4">
        <v>0.05</v>
      </c>
    </row>
    <row r="7">
      <c r="A7" s="0" t="inlineStr">
        <is>
          <t xml:space="preserve">Tax Rate %</t>
        </is>
      </c>
      <c r="B7" s="4">
        <v>0.21</v>
      </c>
      <c r="C7" s="4">
        <v>0.21</v>
      </c>
      <c r="D7" s="4">
        <v>0.21</v>
      </c>
      <c r="E7" s="4">
        <v>0.21</v>
      </c>
      <c r="F7" s="4">
        <v>0.21</v>
      </c>
    </row>
    <row r="8">
      <c r="A8" s="0" t="inlineStr">
        <is>
          <t xml:space="preserve">Interest Rate %</t>
        </is>
      </c>
      <c r="B8" s="4">
        <v>0.05</v>
      </c>
      <c r="C8" s="4">
        <v>0.05</v>
      </c>
      <c r="D8" s="4">
        <v>0.05</v>
      </c>
      <c r="E8" s="4">
        <v>0.05</v>
      </c>
      <c r="F8" s="4">
        <v>0.05</v>
      </c>
    </row>
    <row r="9">
      <c r="A9" s="0" t="inlineStr">
        <is>
          <t xml:space="preserve">CapEx per Store</t>
        </is>
      </c>
      <c r="B9" s="8">
        <v>5000</v>
      </c>
      <c r="C9" s="8">
        <v>5200</v>
      </c>
      <c r="D9" s="8">
        <v>5400</v>
      </c>
      <c r="E9" s="8">
        <v>5600</v>
      </c>
      <c r="F9" s="8">
        <v>5800</v>
      </c>
    </row>
    <row r="10">
      <c r="A10" s="0" t="inlineStr">
        <is>
          <t xml:space="preserve">Store Count</t>
        </is>
      </c>
      <c r="B10" s="6">
        <v>19500</v>
      </c>
      <c r="C10" s="6">
        <f>B10*(1+C4)</f>
        <v>19792.5</v>
      </c>
      <c r="D10" s="6">
        <f>C10*(1+D4)</f>
        <v>20089.3875</v>
      </c>
      <c r="E10" s="6">
        <f>D10*(1+E4)</f>
        <v>20390.728312</v>
      </c>
      <c r="F10" s="6">
        <f>E10*(1+F4)</f>
        <v>20696.589237</v>
      </c>
    </row>
    <row r="11"/>
    <row r="12">
      <c r="A12" s="1" t="inlineStr">
        <is>
          <t xml:space="preserve">Notes:</t>
        </is>
      </c>
    </row>
    <row r="13">
      <c r="A13" s="0" t="inlineStr">
        <is>
          <t xml:space="preserve">All figures USD millions except CapEx per Store ($) &amp; Store Count (units).</t>
        </is>
      </c>
    </row>
    <row r="14">
      <c r="A14" s="0" t="inlineStr">
        <is>
          <t xml:space="preserve">2024 = base/actual year (hard-coded). 2025-2028 = live formulas.</t>
        </is>
      </c>
    </row>
    <row r="15">
      <c r="A15" s="0" t="inlineStr">
        <is>
          <t xml:space="preserve">COGS = 40% of revenue; SG&amp;A is the plug so EBITDA = EBITDA Margin %.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FormatPr defaultRowHeight="15"/>
  <cols>
    <col min="1" max="1" width="40" customWidth="1"/>
    <col min="2" max="6" width="13" customWidth="1"/>
  </cols>
  <sheetData>
    <row r="1">
      <c r="A1" s="1" t="inlineStr">
        <is>
          <t xml:space="preserve">Line Item</t>
        </is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</row>
    <row r="2">
      <c r="A2" s="0" t="inlineStr">
        <is>
          <t xml:space="preserve">Revenue</t>
        </is>
      </c>
      <c r="B2" s="2">
        <v>2000</v>
      </c>
      <c r="C2" s="2">
        <f>B2*(1+Assumptions!C2)</f>
        <v>2100</v>
      </c>
      <c r="D2" s="2">
        <f>C2*(1+Assumptions!D2)</f>
        <v>2194.5</v>
      </c>
      <c r="E2" s="2">
        <f>D2*(1+Assumptions!E2)</f>
        <v>2282.28</v>
      </c>
      <c r="F2" s="2">
        <f>E2*(1+Assumptions!F2)</f>
        <v>2373.5712</v>
      </c>
    </row>
    <row r="3">
      <c r="A3" s="0" t="inlineStr">
        <is>
          <t xml:space="preserve">COGS</t>
        </is>
      </c>
      <c r="B3" s="2">
        <f>B2*0.4</f>
        <v>800</v>
      </c>
      <c r="C3" s="2">
        <f>C2*0.4</f>
        <v>840</v>
      </c>
      <c r="D3" s="2">
        <f>D2*0.4</f>
        <v>877.8</v>
      </c>
      <c r="E3" s="2">
        <f>E2*0.4</f>
        <v>912.912</v>
      </c>
      <c r="F3" s="2">
        <f>F2*0.4</f>
        <v>949.42848</v>
      </c>
    </row>
    <row r="4">
      <c r="A4" s="0" t="inlineStr">
        <is>
          <t xml:space="preserve">Gross Profit</t>
        </is>
      </c>
      <c r="B4" s="2">
        <f>B2-B3</f>
        <v>1200</v>
      </c>
      <c r="C4" s="2">
        <f>C2-C3</f>
        <v>1260</v>
      </c>
      <c r="D4" s="2">
        <f>D2-D3</f>
        <v>1316.7</v>
      </c>
      <c r="E4" s="2">
        <f>E2-E3</f>
        <v>1369.368</v>
      </c>
      <c r="F4" s="2">
        <f>F2-F3</f>
        <v>1424.14272</v>
      </c>
    </row>
    <row r="5">
      <c r="A5" s="0" t="inlineStr">
        <is>
          <t xml:space="preserve">Gross Margin %</t>
        </is>
      </c>
      <c r="B5" s="4">
        <f>B4/B2</f>
        <v>0.6</v>
      </c>
      <c r="C5" s="4">
        <f>C4/C2</f>
        <v>0.6</v>
      </c>
      <c r="D5" s="4">
        <f>D4/D2</f>
        <v>0.6</v>
      </c>
      <c r="E5" s="4">
        <f>E4/E2</f>
        <v>0.6</v>
      </c>
      <c r="F5" s="4">
        <f>F4/F2</f>
        <v>0.6</v>
      </c>
    </row>
    <row r="6">
      <c r="A6" s="0" t="inlineStr">
        <is>
          <t xml:space="preserve">SG&amp;A</t>
        </is>
      </c>
      <c r="B6" s="2">
        <f>B4-B7</f>
        <v>500</v>
      </c>
      <c r="C6" s="2">
        <f>C4-C7</f>
        <v>514.5</v>
      </c>
      <c r="D6" s="2">
        <f>D4-D7</f>
        <v>526.68</v>
      </c>
      <c r="E6" s="2">
        <f>E4-E7</f>
        <v>536.3358</v>
      </c>
      <c r="F6" s="2">
        <f>F4-F7</f>
        <v>545.921376</v>
      </c>
    </row>
    <row r="7">
      <c r="A7" s="1" t="inlineStr">
        <is>
          <t xml:space="preserve">EBITDA</t>
        </is>
      </c>
      <c r="B7" s="3">
        <f>B2*Assumptions!B5</f>
        <v>700</v>
      </c>
      <c r="C7" s="3">
        <f>C2*Assumptions!C5</f>
        <v>745.5</v>
      </c>
      <c r="D7" s="3">
        <f>D2*Assumptions!D5</f>
        <v>790.02</v>
      </c>
      <c r="E7" s="3">
        <f>E2*Assumptions!E5</f>
        <v>833.0322</v>
      </c>
      <c r="F7" s="3">
        <f>F2*Assumptions!F5</f>
        <v>878.221344</v>
      </c>
    </row>
    <row r="8">
      <c r="A8" s="0" t="inlineStr">
        <is>
          <t xml:space="preserve">Depreciation</t>
        </is>
      </c>
      <c r="B8" s="2">
        <f>B2*Assumptions!B6</f>
        <v>100</v>
      </c>
      <c r="C8" s="2">
        <f>C2*Assumptions!C6</f>
        <v>105</v>
      </c>
      <c r="D8" s="2">
        <f>D2*Assumptions!D6</f>
        <v>109.725</v>
      </c>
      <c r="E8" s="2">
        <f>E2*Assumptions!E6</f>
        <v>114.114</v>
      </c>
      <c r="F8" s="2">
        <f>F2*Assumptions!F6</f>
        <v>118.67856</v>
      </c>
    </row>
    <row r="9">
      <c r="A9" s="1" t="inlineStr">
        <is>
          <t xml:space="preserve">EBIT</t>
        </is>
      </c>
      <c r="B9" s="3">
        <f>B7-B8</f>
        <v>600</v>
      </c>
      <c r="C9" s="3">
        <f>C7-C8</f>
        <v>640.5</v>
      </c>
      <c r="D9" s="3">
        <f>D7-D8</f>
        <v>680.295</v>
      </c>
      <c r="E9" s="3">
        <f>E7-E8</f>
        <v>718.9182</v>
      </c>
      <c r="F9" s="3">
        <f>F7-F8</f>
        <v>759.542784</v>
      </c>
    </row>
    <row r="10">
      <c r="A10" s="0" t="inlineStr">
        <is>
          <t xml:space="preserve">Interest Expense</t>
        </is>
      </c>
      <c r="B10" s="2">
        <f>Assumptions!B8*(BS!B17+BS!B20)</f>
        <v>175</v>
      </c>
      <c r="C10" s="2">
        <f>Assumptions!C8*(BS!C17+BS!C20)</f>
        <v>170</v>
      </c>
      <c r="D10" s="2">
        <f>Assumptions!D8*(BS!D17+BS!D20)</f>
        <v>165</v>
      </c>
      <c r="E10" s="2">
        <f>Assumptions!E8*(BS!E17+BS!E20)</f>
        <v>160</v>
      </c>
      <c r="F10" s="2">
        <f>Assumptions!F8*(BS!F17+BS!F20)</f>
        <v>155</v>
      </c>
    </row>
    <row r="11">
      <c r="A11" s="0" t="inlineStr">
        <is>
          <t xml:space="preserve">Pre-Tax Income</t>
        </is>
      </c>
      <c r="B11" s="2">
        <f>B9-B10</f>
        <v>425</v>
      </c>
      <c r="C11" s="2">
        <f>C9-C10</f>
        <v>470.5</v>
      </c>
      <c r="D11" s="2">
        <f>D9-D10</f>
        <v>515.295</v>
      </c>
      <c r="E11" s="2">
        <f>E9-E10</f>
        <v>558.9182</v>
      </c>
      <c r="F11" s="2">
        <f>F9-F10</f>
        <v>604.542784</v>
      </c>
    </row>
    <row r="12">
      <c r="A12" s="0" t="inlineStr">
        <is>
          <t xml:space="preserve">Taxes</t>
        </is>
      </c>
      <c r="B12" s="2">
        <f>B11*Assumptions!B7</f>
        <v>89.25</v>
      </c>
      <c r="C12" s="2">
        <f>C11*Assumptions!C7</f>
        <v>98.805</v>
      </c>
      <c r="D12" s="2">
        <f>D11*Assumptions!D7</f>
        <v>108.21195</v>
      </c>
      <c r="E12" s="2">
        <f>E11*Assumptions!E7</f>
        <v>117.372822</v>
      </c>
      <c r="F12" s="2">
        <f>F11*Assumptions!F7</f>
        <v>126.953985</v>
      </c>
    </row>
    <row r="13">
      <c r="A13" s="1" t="inlineStr">
        <is>
          <t xml:space="preserve">Net Income</t>
        </is>
      </c>
      <c r="B13" s="3">
        <f>B11-B12</f>
        <v>335.75</v>
      </c>
      <c r="C13" s="3">
        <f>C11-C12</f>
        <v>371.695</v>
      </c>
      <c r="D13" s="3">
        <f>D11-D12</f>
        <v>407.08305</v>
      </c>
      <c r="E13" s="3">
        <f>E11-E12</f>
        <v>441.545378</v>
      </c>
      <c r="F13" s="3">
        <f>F11-F12</f>
        <v>477.588799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FormatPr defaultRowHeight="15"/>
  <cols>
    <col min="1" max="1" width="40" customWidth="1"/>
    <col min="2" max="6" width="13" customWidth="1"/>
  </cols>
  <sheetData>
    <row r="1">
      <c r="A1" s="1" t="inlineStr">
        <is>
          <t xml:space="preserve">Line Item</t>
        </is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</row>
    <row r="2">
      <c r="A2" s="1" t="inlineStr">
        <is>
          <t xml:space="preserve">ASSETS</t>
        </is>
      </c>
    </row>
    <row r="3">
      <c r="A3" s="0" t="inlineStr">
        <is>
          <t xml:space="preserve">Cash</t>
        </is>
      </c>
      <c r="B3" s="2">
        <f>CF!B13</f>
        <v>850</v>
      </c>
      <c r="C3" s="2">
        <f>CF!C13</f>
        <v>941.9265</v>
      </c>
      <c r="D3" s="2">
        <f>CF!D13</f>
        <v>1050.490333</v>
      </c>
      <c r="E3" s="2">
        <f>CF!E13</f>
        <v>1174.700143</v>
      </c>
      <c r="F3" s="2">
        <f>CF!F13</f>
        <v>1315.784533</v>
      </c>
    </row>
    <row r="4">
      <c r="A4" s="0" t="inlineStr">
        <is>
          <t xml:space="preserve">Accounts Receivable</t>
        </is>
      </c>
      <c r="B4" s="2">
        <v>80</v>
      </c>
      <c r="C4" s="2">
        <f>B4*IS!C2/IS!B2</f>
        <v>84</v>
      </c>
      <c r="D4" s="2">
        <f>C4*IS!D2/IS!C2</f>
        <v>87.78</v>
      </c>
      <c r="E4" s="2">
        <f>D4*IS!E2/IS!D2</f>
        <v>91.2912</v>
      </c>
      <c r="F4" s="2">
        <f>E4*IS!F2/IS!E2</f>
        <v>94.942848</v>
      </c>
    </row>
    <row r="5">
      <c r="A5" s="0" t="inlineStr">
        <is>
          <t xml:space="preserve">Inventory</t>
        </is>
      </c>
      <c r="B5" s="2">
        <v>20</v>
      </c>
      <c r="C5" s="2">
        <f>B5*IS!C2/IS!B2</f>
        <v>21</v>
      </c>
      <c r="D5" s="2">
        <f>C5*IS!D2/IS!C2</f>
        <v>21.945</v>
      </c>
      <c r="E5" s="2">
        <f>D5*IS!E2/IS!D2</f>
        <v>22.8228</v>
      </c>
      <c r="F5" s="2">
        <f>E5*IS!F2/IS!E2</f>
        <v>23.735712</v>
      </c>
    </row>
    <row r="6">
      <c r="A6" s="0" t="inlineStr">
        <is>
          <t xml:space="preserve">Prepaid Expenses</t>
        </is>
      </c>
      <c r="B6" s="2">
        <v>40</v>
      </c>
      <c r="C6" s="2">
        <f>B6*IS!C2/IS!B2</f>
        <v>42</v>
      </c>
      <c r="D6" s="2">
        <f>C6*IS!D2/IS!C2</f>
        <v>43.89</v>
      </c>
      <c r="E6" s="2">
        <f>D6*IS!E2/IS!D2</f>
        <v>45.6456</v>
      </c>
      <c r="F6" s="2">
        <f>E6*IS!F2/IS!E2</f>
        <v>47.471424</v>
      </c>
    </row>
    <row r="7">
      <c r="A7" s="1" t="inlineStr">
        <is>
          <t xml:space="preserve">Total Current Assets</t>
        </is>
      </c>
      <c r="B7" s="3">
        <f>SUM(B3:B6)</f>
        <v>990</v>
      </c>
      <c r="C7" s="3">
        <f>SUM(C3:C6)</f>
        <v>1088.9265</v>
      </c>
      <c r="D7" s="3">
        <f>SUM(D3:D6)</f>
        <v>1204.105333</v>
      </c>
      <c r="E7" s="3">
        <f>SUM(E3:E6)</f>
        <v>1334.459743</v>
      </c>
      <c r="F7" s="3">
        <f>SUM(F3:F6)</f>
        <v>1481.934517</v>
      </c>
    </row>
    <row r="8">
      <c r="A8" s="0" t="inlineStr">
        <is>
          <t xml:space="preserve">PP&amp;E</t>
        </is>
      </c>
      <c r="B8" s="2">
        <v>1200</v>
      </c>
      <c r="C8" s="2">
        <f>B8+Assumptions!C9*Assumptions!C10/1000000-IS!C8</f>
        <v>1197.921</v>
      </c>
      <c r="D8" s="2">
        <f>C8+Assumptions!D9*Assumptions!D10/1000000-IS!D8</f>
        <v>1196.678693</v>
      </c>
      <c r="E8" s="2">
        <f>D8+Assumptions!E9*Assumptions!E10/1000000-IS!E8</f>
        <v>1196.752771</v>
      </c>
      <c r="F8" s="2">
        <f>E8+Assumptions!F9*Assumptions!F10/1000000-IS!F8</f>
        <v>1198.114429</v>
      </c>
    </row>
    <row r="9">
      <c r="A9" s="0" t="inlineStr">
        <is>
          <t xml:space="preserve">Right-of-Use Assets</t>
        </is>
      </c>
      <c r="B9" s="2">
        <v>1200</v>
      </c>
      <c r="C9" s="2">
        <f>B9</f>
        <v>1200</v>
      </c>
      <c r="D9" s="2">
        <f>C9</f>
        <v>1200</v>
      </c>
      <c r="E9" s="2">
        <f>D9</f>
        <v>1200</v>
      </c>
      <c r="F9" s="2">
        <f>E9</f>
        <v>1200</v>
      </c>
    </row>
    <row r="10">
      <c r="A10" s="0" t="inlineStr">
        <is>
          <t xml:space="preserve">Intangibles</t>
        </is>
      </c>
      <c r="B10" s="2">
        <v>1000</v>
      </c>
      <c r="C10" s="2">
        <f>B10</f>
        <v>1000</v>
      </c>
      <c r="D10" s="2">
        <f>C10</f>
        <v>1000</v>
      </c>
      <c r="E10" s="2">
        <f>D10</f>
        <v>1000</v>
      </c>
      <c r="F10" s="2">
        <f>E10</f>
        <v>1000</v>
      </c>
    </row>
    <row r="11">
      <c r="A11" s="0" t="inlineStr">
        <is>
          <t xml:space="preserve">Goodwill</t>
        </is>
      </c>
      <c r="B11" s="2">
        <v>5500</v>
      </c>
      <c r="C11" s="2">
        <f>B11</f>
        <v>5500</v>
      </c>
      <c r="D11" s="2">
        <f>C11</f>
        <v>5500</v>
      </c>
      <c r="E11" s="2">
        <f>D11</f>
        <v>5500</v>
      </c>
      <c r="F11" s="2">
        <f>E11</f>
        <v>5500</v>
      </c>
    </row>
    <row r="12">
      <c r="A12" s="1" t="inlineStr">
        <is>
          <t xml:space="preserve">Total Non-Current Assets</t>
        </is>
      </c>
      <c r="B12" s="3">
        <f>SUM(B8:B11)</f>
        <v>8900</v>
      </c>
      <c r="C12" s="3">
        <f>SUM(C8:C11)</f>
        <v>8897.921</v>
      </c>
      <c r="D12" s="3">
        <f>SUM(D8:D11)</f>
        <v>8896.678692</v>
      </c>
      <c r="E12" s="3">
        <f>SUM(E8:E11)</f>
        <v>8896.752771</v>
      </c>
      <c r="F12" s="3">
        <f>SUM(F8:F11)</f>
        <v>8898.114429</v>
      </c>
    </row>
    <row r="13">
      <c r="A13" s="1" t="inlineStr">
        <is>
          <t xml:space="preserve">TOTAL ASSETS</t>
        </is>
      </c>
      <c r="B13" s="3">
        <f>B7+B12</f>
        <v>9890</v>
      </c>
      <c r="C13" s="3">
        <f>C7+C12</f>
        <v>9986.8475</v>
      </c>
      <c r="D13" s="3">
        <f>D7+D12</f>
        <v>10100.784025</v>
      </c>
      <c r="E13" s="3">
        <f>E7+E12</f>
        <v>10231.212514</v>
      </c>
      <c r="F13" s="3">
        <f>F7+F12</f>
        <v>10380.048946</v>
      </c>
    </row>
    <row r="14">
      <c r="A14" s="1" t="inlineStr">
        <is>
          <t xml:space="preserve">LIABILITIES</t>
        </is>
      </c>
    </row>
    <row r="15">
      <c r="A15" s="0" t="inlineStr">
        <is>
          <t xml:space="preserve">Accounts Payable</t>
        </is>
      </c>
      <c r="B15" s="2">
        <v>100</v>
      </c>
      <c r="C15" s="2">
        <f>B15*IS!C2/IS!B2</f>
        <v>105</v>
      </c>
      <c r="D15" s="2">
        <f>C15*IS!D2/IS!C2</f>
        <v>109.725</v>
      </c>
      <c r="E15" s="2">
        <f>D15*IS!E2/IS!D2</f>
        <v>114.114</v>
      </c>
      <c r="F15" s="2">
        <f>E15*IS!F2/IS!E2</f>
        <v>118.67856</v>
      </c>
    </row>
    <row r="16">
      <c r="A16" s="0" t="inlineStr">
        <is>
          <t xml:space="preserve">Accrued Expenses</t>
        </is>
      </c>
      <c r="B16" s="2">
        <v>120</v>
      </c>
      <c r="C16" s="2">
        <f>B16*IS!C2/IS!B2</f>
        <v>126</v>
      </c>
      <c r="D16" s="2">
        <f>C16*IS!D2/IS!C2</f>
        <v>131.67</v>
      </c>
      <c r="E16" s="2">
        <f>D16*IS!E2/IS!D2</f>
        <v>136.9368</v>
      </c>
      <c r="F16" s="2">
        <f>E16*IS!F2/IS!E2</f>
        <v>142.414272</v>
      </c>
    </row>
    <row r="17">
      <c r="A17" s="0" t="inlineStr">
        <is>
          <t xml:space="preserve">Short-term Debt</t>
        </is>
      </c>
      <c r="B17" s="2">
        <v>200</v>
      </c>
      <c r="C17" s="2">
        <f>B17</f>
        <v>200</v>
      </c>
      <c r="D17" s="2">
        <f>C17</f>
        <v>200</v>
      </c>
      <c r="E17" s="2">
        <f>D17</f>
        <v>200</v>
      </c>
      <c r="F17" s="2">
        <f>E17</f>
        <v>200</v>
      </c>
    </row>
    <row r="18">
      <c r="A18" s="0" t="inlineStr">
        <is>
          <t xml:space="preserve">Current Lease Liability</t>
        </is>
      </c>
      <c r="B18" s="2">
        <v>150</v>
      </c>
      <c r="C18" s="2">
        <f>B18</f>
        <v>150</v>
      </c>
      <c r="D18" s="2">
        <f>C18</f>
        <v>150</v>
      </c>
      <c r="E18" s="2">
        <f>D18</f>
        <v>150</v>
      </c>
      <c r="F18" s="2">
        <f>E18</f>
        <v>150</v>
      </c>
    </row>
    <row r="19">
      <c r="A19" s="1" t="inlineStr">
        <is>
          <t xml:space="preserve">Total Current Liabilities</t>
        </is>
      </c>
      <c r="B19" s="3">
        <f>SUM(B15:B18)</f>
        <v>570</v>
      </c>
      <c r="C19" s="3">
        <f>SUM(C15:C18)</f>
        <v>581</v>
      </c>
      <c r="D19" s="3">
        <f>SUM(D15:D18)</f>
        <v>591.395</v>
      </c>
      <c r="E19" s="3">
        <f>SUM(E15:E18)</f>
        <v>601.0508</v>
      </c>
      <c r="F19" s="3">
        <f>SUM(F15:F18)</f>
        <v>611.092832</v>
      </c>
    </row>
    <row r="20">
      <c r="A20" s="0" t="inlineStr">
        <is>
          <t xml:space="preserve">Long-term Debt</t>
        </is>
      </c>
      <c r="B20" s="2">
        <v>3300</v>
      </c>
      <c r="C20" s="2">
        <f>B20-100</f>
        <v>3200</v>
      </c>
      <c r="D20" s="2">
        <f>C20-100</f>
        <v>3100</v>
      </c>
      <c r="E20" s="2">
        <f>D20-100</f>
        <v>3000</v>
      </c>
      <c r="F20" s="2">
        <f>E20-100</f>
        <v>2900</v>
      </c>
    </row>
    <row r="21">
      <c r="A21" s="0" t="inlineStr">
        <is>
          <t xml:space="preserve">Lease Liabilities</t>
        </is>
      </c>
      <c r="B21" s="2">
        <v>1150</v>
      </c>
      <c r="C21" s="2">
        <f>B21</f>
        <v>1150</v>
      </c>
      <c r="D21" s="2">
        <f>C21</f>
        <v>1150</v>
      </c>
      <c r="E21" s="2">
        <f>D21</f>
        <v>1150</v>
      </c>
      <c r="F21" s="2">
        <f>E21</f>
        <v>1150</v>
      </c>
    </row>
    <row r="22">
      <c r="A22" s="0" t="inlineStr">
        <is>
          <t xml:space="preserve">Deferred Tax</t>
        </is>
      </c>
      <c r="B22" s="2">
        <v>300</v>
      </c>
      <c r="C22" s="2">
        <f>B22</f>
        <v>300</v>
      </c>
      <c r="D22" s="2">
        <f>C22</f>
        <v>300</v>
      </c>
      <c r="E22" s="2">
        <f>D22</f>
        <v>300</v>
      </c>
      <c r="F22" s="2">
        <f>E22</f>
        <v>300</v>
      </c>
    </row>
    <row r="23">
      <c r="A23" s="1" t="inlineStr">
        <is>
          <t xml:space="preserve">Total Non-Current Liabilities</t>
        </is>
      </c>
      <c r="B23" s="3">
        <f>SUM(B20:B22)</f>
        <v>4750</v>
      </c>
      <c r="C23" s="3">
        <f>SUM(C20:C22)</f>
        <v>4650</v>
      </c>
      <c r="D23" s="3">
        <f>SUM(D20:D22)</f>
        <v>4550</v>
      </c>
      <c r="E23" s="3">
        <f>SUM(E20:E22)</f>
        <v>4450</v>
      </c>
      <c r="F23" s="3">
        <f>SUM(F20:F22)</f>
        <v>4350</v>
      </c>
    </row>
    <row r="24">
      <c r="A24" s="1" t="inlineStr">
        <is>
          <t xml:space="preserve">TOTAL LIABILITIES</t>
        </is>
      </c>
      <c r="B24" s="3">
        <f>B19+B23</f>
        <v>5320</v>
      </c>
      <c r="C24" s="3">
        <f>C19+C23</f>
        <v>5231</v>
      </c>
      <c r="D24" s="3">
        <f>D19+D23</f>
        <v>5141.395</v>
      </c>
      <c r="E24" s="3">
        <f>E19+E23</f>
        <v>5051.0508</v>
      </c>
      <c r="F24" s="3">
        <f>F19+F23</f>
        <v>4961.092832</v>
      </c>
    </row>
    <row r="25">
      <c r="A25" s="1" t="inlineStr">
        <is>
          <t xml:space="preserve">EQUITY</t>
        </is>
      </c>
    </row>
    <row r="26">
      <c r="A26" s="0" t="inlineStr">
        <is>
          <t xml:space="preserve">Share Capital</t>
        </is>
      </c>
      <c r="B26" s="2">
        <v>100</v>
      </c>
      <c r="C26" s="2">
        <f>B26</f>
        <v>100</v>
      </c>
      <c r="D26" s="2">
        <f>C26</f>
        <v>100</v>
      </c>
      <c r="E26" s="2">
        <f>D26</f>
        <v>100</v>
      </c>
      <c r="F26" s="2">
        <f>E26</f>
        <v>100</v>
      </c>
    </row>
    <row r="27">
      <c r="A27" s="0" t="inlineStr">
        <is>
          <t xml:space="preserve">Retained Earnings</t>
        </is>
      </c>
      <c r="B27" s="2">
        <v>2970</v>
      </c>
      <c r="C27" s="2">
        <f>B27+IS!C13+CF!C9</f>
        <v>3155.8475</v>
      </c>
      <c r="D27" s="2">
        <f>C27+IS!D13+CF!D9</f>
        <v>3359.389025</v>
      </c>
      <c r="E27" s="2">
        <f>D27+IS!E13+CF!E9</f>
        <v>3580.161714</v>
      </c>
      <c r="F27" s="2">
        <f>E27+IS!F13+CF!F9</f>
        <v>3818.956114</v>
      </c>
    </row>
    <row r="28">
      <c r="A28" s="0" t="inlineStr">
        <is>
          <t xml:space="preserve">Additional Paid-In Capital</t>
        </is>
      </c>
      <c r="B28" s="2">
        <v>2000</v>
      </c>
      <c r="C28" s="2">
        <f>B28</f>
        <v>2000</v>
      </c>
      <c r="D28" s="2">
        <f>C28</f>
        <v>2000</v>
      </c>
      <c r="E28" s="2">
        <f>D28</f>
        <v>2000</v>
      </c>
      <c r="F28" s="2">
        <f>E28</f>
        <v>2000</v>
      </c>
    </row>
    <row r="29">
      <c r="A29" s="0" t="inlineStr">
        <is>
          <t xml:space="preserve">Treasury Stock</t>
        </is>
      </c>
      <c r="B29" s="2">
        <v>-500</v>
      </c>
      <c r="C29" s="2">
        <f>B29</f>
        <v>-500</v>
      </c>
      <c r="D29" s="2">
        <f>C29</f>
        <v>-500</v>
      </c>
      <c r="E29" s="2">
        <f>D29</f>
        <v>-500</v>
      </c>
      <c r="F29" s="2">
        <f>E29</f>
        <v>-500</v>
      </c>
    </row>
    <row r="30">
      <c r="A30" s="1" t="inlineStr">
        <is>
          <t xml:space="preserve">TOTAL EQUITY</t>
        </is>
      </c>
      <c r="B30" s="3">
        <f>B26+B27+B28+B29</f>
        <v>4570</v>
      </c>
      <c r="C30" s="3">
        <f>C26+C27+C28+C29</f>
        <v>4755.8475</v>
      </c>
      <c r="D30" s="3">
        <f>D26+D27+D28+D29</f>
        <v>4959.389025</v>
      </c>
      <c r="E30" s="3">
        <f>E26+E27+E28+E29</f>
        <v>5180.161714</v>
      </c>
      <c r="F30" s="3">
        <f>F26+F27+F28+F29</f>
        <v>5418.956114</v>
      </c>
    </row>
    <row r="31">
      <c r="A31" s="1" t="inlineStr">
        <is>
          <t xml:space="preserve">TOTAL LIABILITIES + EQUITY</t>
        </is>
      </c>
      <c r="B31" s="3">
        <f>B24+B30</f>
        <v>9890</v>
      </c>
      <c r="C31" s="3">
        <f>C24+C30</f>
        <v>9986.8475</v>
      </c>
      <c r="D31" s="3">
        <f>D24+D30</f>
        <v>10100.784025</v>
      </c>
      <c r="E31" s="3">
        <f>E24+E30</f>
        <v>10231.212514</v>
      </c>
      <c r="F31" s="3">
        <f>F24+F30</f>
        <v>10380.048946</v>
      </c>
    </row>
    <row r="32">
      <c r="A32" s="1" t="inlineStr">
        <is>
          <t xml:space="preserve">Balance Check (must = 0)</t>
        </is>
      </c>
      <c r="B32" s="3">
        <f>B13-B31</f>
        <v>0</v>
      </c>
      <c r="C32" s="3">
        <f>C13-C31</f>
        <v>0</v>
      </c>
      <c r="D32" s="3">
        <f>D13-D31</f>
        <v>0</v>
      </c>
      <c r="E32" s="3">
        <f>E13-E31</f>
        <v>0</v>
      </c>
      <c r="F32" s="3">
        <f>F13-F31</f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FormatPr defaultRowHeight="15"/>
  <cols>
    <col min="1" max="1" width="40" customWidth="1"/>
    <col min="2" max="6" width="13" customWidth="1"/>
  </cols>
  <sheetData>
    <row r="1">
      <c r="A1" s="1" t="inlineStr">
        <is>
          <t xml:space="preserve">Line Item</t>
        </is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</row>
    <row r="2">
      <c r="A2" s="0" t="inlineStr">
        <is>
          <t xml:space="preserve">Net Income</t>
        </is>
      </c>
      <c r="B2" s="2">
        <f>IS!B13</f>
        <v>335.75</v>
      </c>
      <c r="C2" s="2">
        <f>IS!C13</f>
        <v>371.695</v>
      </c>
      <c r="D2" s="2">
        <f>IS!D13</f>
        <v>407.08305</v>
      </c>
      <c r="E2" s="2">
        <f>IS!E13</f>
        <v>441.545378</v>
      </c>
      <c r="F2" s="2">
        <f>IS!F13</f>
        <v>477.588799</v>
      </c>
    </row>
    <row r="3">
      <c r="A3" s="0" t="inlineStr">
        <is>
          <t xml:space="preserve">Depreciation</t>
        </is>
      </c>
      <c r="B3" s="2">
        <f>IS!B8</f>
        <v>100</v>
      </c>
      <c r="C3" s="2">
        <f>IS!C8</f>
        <v>105</v>
      </c>
      <c r="D3" s="2">
        <f>IS!D8</f>
        <v>109.725</v>
      </c>
      <c r="E3" s="2">
        <f>IS!E8</f>
        <v>114.114</v>
      </c>
      <c r="F3" s="2">
        <f>IS!F8</f>
        <v>118.67856</v>
      </c>
    </row>
    <row r="4">
      <c r="A4" s="0" t="inlineStr">
        <is>
          <t xml:space="preserve">Change in Working Capital</t>
        </is>
      </c>
      <c r="B4" s="2">
        <v>3.81</v>
      </c>
      <c r="C4" s="2">
        <f>-((BS!C4-BS!B4)+(BS!C5-BS!B5)+(BS!C6-BS!B6))+((BS!C15-BS!B15)+(BS!C16-BS!B16))</f>
        <v>4</v>
      </c>
      <c r="D4" s="2">
        <f>-((BS!D4-BS!C4)+(BS!D5-BS!C5)+(BS!D6-BS!C6))+((BS!D15-BS!C15)+(BS!D16-BS!C16))</f>
        <v>3.78</v>
      </c>
      <c r="E4" s="2">
        <f>-((BS!E4-BS!D4)+(BS!E5-BS!D5)+(BS!E6-BS!D6))+((BS!E15-BS!D15)+(BS!E16-BS!D16))</f>
        <v>3.5112</v>
      </c>
      <c r="F4" s="2">
        <f>-((BS!F4-BS!E4)+(BS!F5-BS!E5)+(BS!F6-BS!E6))+((BS!F15-BS!E15)+(BS!F16-BS!E16))</f>
        <v>3.651648</v>
      </c>
    </row>
    <row r="5">
      <c r="A5" s="1" t="inlineStr">
        <is>
          <t xml:space="preserve">Operating Cash Flow</t>
        </is>
      </c>
      <c r="B5" s="3">
        <f>B2+B3+B4</f>
        <v>439.56</v>
      </c>
      <c r="C5" s="3">
        <f>C2+C3+C4</f>
        <v>480.695</v>
      </c>
      <c r="D5" s="3">
        <f>D2+D3+D4</f>
        <v>520.58805</v>
      </c>
      <c r="E5" s="3">
        <f>E2+E3+E4</f>
        <v>559.170578</v>
      </c>
      <c r="F5" s="3">
        <f>F2+F3+F4</f>
        <v>599.919007</v>
      </c>
    </row>
    <row r="6">
      <c r="A6" s="0" t="inlineStr">
        <is>
          <t xml:space="preserve">CapEx</t>
        </is>
      </c>
      <c r="B6" s="2">
        <f>-Assumptions!B9*Assumptions!B10/1000000</f>
        <v>-97.5</v>
      </c>
      <c r="C6" s="2">
        <f>-Assumptions!C9*Assumptions!C10/1000000</f>
        <v>-102.921</v>
      </c>
      <c r="D6" s="2">
        <f>-Assumptions!D9*Assumptions!D10/1000000</f>
        <v>-108.482692</v>
      </c>
      <c r="E6" s="2">
        <f>-Assumptions!E9*Assumptions!E10/1000000</f>
        <v>-114.188079</v>
      </c>
      <c r="F6" s="2">
        <f>-Assumptions!F9*Assumptions!F10/1000000</f>
        <v>-120.040218</v>
      </c>
    </row>
    <row r="7">
      <c r="A7" s="1" t="inlineStr">
        <is>
          <t xml:space="preserve">Investing Cash Flow</t>
        </is>
      </c>
      <c r="B7" s="3">
        <f>B6</f>
        <v>-97.5</v>
      </c>
      <c r="C7" s="3">
        <f>C6</f>
        <v>-102.921</v>
      </c>
      <c r="D7" s="3">
        <f>D6</f>
        <v>-108.482692</v>
      </c>
      <c r="E7" s="3">
        <f>E6</f>
        <v>-114.188079</v>
      </c>
      <c r="F7" s="3">
        <f>F6</f>
        <v>-120.040218</v>
      </c>
    </row>
    <row r="8">
      <c r="A8" s="0" t="inlineStr">
        <is>
          <t xml:space="preserve">Debt Issued/(Repaid)</t>
        </is>
      </c>
      <c r="B8" s="2">
        <v>-100</v>
      </c>
      <c r="C8" s="2">
        <f>BS!C20-BS!B20</f>
        <v>-100</v>
      </c>
      <c r="D8" s="2">
        <f>BS!D20-BS!C20</f>
        <v>-100</v>
      </c>
      <c r="E8" s="2">
        <f>BS!E20-BS!D20</f>
        <v>-100</v>
      </c>
      <c r="F8" s="2">
        <f>BS!F20-BS!E20</f>
        <v>-100</v>
      </c>
    </row>
    <row r="9">
      <c r="A9" s="0" t="inlineStr">
        <is>
          <t xml:space="preserve">Dividends</t>
        </is>
      </c>
      <c r="B9" s="2">
        <f>-0.5*IS!B13</f>
        <v>-167.875</v>
      </c>
      <c r="C9" s="2">
        <f>-0.5*IS!C13</f>
        <v>-185.8475</v>
      </c>
      <c r="D9" s="2">
        <f>-0.5*IS!D13</f>
        <v>-203.541525</v>
      </c>
      <c r="E9" s="2">
        <f>-0.5*IS!E13</f>
        <v>-220.772689</v>
      </c>
      <c r="F9" s="2">
        <f>-0.5*IS!F13</f>
        <v>-238.7944</v>
      </c>
    </row>
    <row r="10">
      <c r="A10" s="1" t="inlineStr">
        <is>
          <t xml:space="preserve">Financing Cash Flow</t>
        </is>
      </c>
      <c r="B10" s="3">
        <f>B8+B9</f>
        <v>-267.875</v>
      </c>
      <c r="C10" s="3">
        <f>C8+C9</f>
        <v>-285.8475</v>
      </c>
      <c r="D10" s="3">
        <f>D8+D9</f>
        <v>-303.541525</v>
      </c>
      <c r="E10" s="3">
        <f>E8+E9</f>
        <v>-320.772689</v>
      </c>
      <c r="F10" s="3">
        <f>F8+F9</f>
        <v>-338.7944</v>
      </c>
    </row>
    <row r="11">
      <c r="A11" s="1" t="inlineStr">
        <is>
          <t xml:space="preserve">Net Change in Cash</t>
        </is>
      </c>
      <c r="B11" s="3">
        <f>B5+B7+B10</f>
        <v>74.185</v>
      </c>
      <c r="C11" s="3">
        <f>C5+C7+C10</f>
        <v>91.9265</v>
      </c>
      <c r="D11" s="3">
        <f>D5+D7+D10</f>
        <v>108.563832</v>
      </c>
      <c r="E11" s="3">
        <f>E5+E7+E10</f>
        <v>124.20981</v>
      </c>
      <c r="F11" s="3">
        <f>F5+F7+F10</f>
        <v>141.08439</v>
      </c>
    </row>
    <row r="12">
      <c r="A12" s="0" t="inlineStr">
        <is>
          <t xml:space="preserve">Opening Cash</t>
        </is>
      </c>
      <c r="B12" s="2">
        <v>775.815</v>
      </c>
      <c r="C12" s="2">
        <f>B13</f>
        <v>850</v>
      </c>
      <c r="D12" s="2">
        <f>C13</f>
        <v>941.9265</v>
      </c>
      <c r="E12" s="2">
        <f>D13</f>
        <v>1050.490333</v>
      </c>
      <c r="F12" s="2">
        <f>E13</f>
        <v>1174.700143</v>
      </c>
    </row>
    <row r="13">
      <c r="A13" s="1" t="inlineStr">
        <is>
          <t xml:space="preserve">Closing Cash</t>
        </is>
      </c>
      <c r="B13" s="3">
        <f>B12+B11</f>
        <v>850</v>
      </c>
      <c r="C13" s="3">
        <f>C12+C11</f>
        <v>941.9265</v>
      </c>
      <c r="D13" s="3">
        <f>D12+D11</f>
        <v>1050.490333</v>
      </c>
      <c r="E13" s="3">
        <f>E12+E11</f>
        <v>1174.700143</v>
      </c>
      <c r="F13" s="3">
        <f>F12+F11</f>
        <v>1315.784533</v>
      </c>
    </row>
    <row r="14">
      <c r="A14" s="0" t="inlineStr">
        <is>
          <t xml:space="preserve">Interest Paid (memo; already in Net Income)</t>
        </is>
      </c>
      <c r="B14" s="2">
        <f>-IS!B10</f>
        <v>-175</v>
      </c>
      <c r="C14" s="2">
        <f>-IS!C10</f>
        <v>-170</v>
      </c>
      <c r="D14" s="2">
        <f>-IS!D10</f>
        <v>-165</v>
      </c>
      <c r="E14" s="2">
        <f>-IS!E10</f>
        <v>-160</v>
      </c>
      <c r="F14" s="2">
        <f>-IS!F10</f>
        <v>-155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FormatPr defaultRowHeight="15"/>
  <cols>
    <col min="1" max="1" width="40" customWidth="1"/>
    <col min="2" max="6" width="13" customWidth="1"/>
  </cols>
  <sheetData>
    <row r="1">
      <c r="A1" s="1" t="inlineStr">
        <is>
          <t xml:space="preserve">Year</t>
        </is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</row>
    <row r="2">
      <c r="A2" s="0" t="inlineStr">
        <is>
          <t xml:space="preserve">Revenue Growth %</t>
        </is>
      </c>
      <c r="C2" s="4">
        <f>IS!C2/IS!B2-1</f>
        <v>0.05</v>
      </c>
      <c r="D2" s="4">
        <f>IS!D2/IS!C2-1</f>
        <v>0.045</v>
      </c>
      <c r="E2" s="4">
        <f>IS!E2/IS!D2-1</f>
        <v>0.04</v>
      </c>
      <c r="F2" s="4">
        <f>IS!F2/IS!E2-1</f>
        <v>0.04</v>
      </c>
    </row>
    <row r="3">
      <c r="A3" s="0" t="inlineStr">
        <is>
          <t xml:space="preserve">EBITDA Margin %</t>
        </is>
      </c>
      <c r="B3" s="4">
        <f>IS!B7/IS!B2</f>
        <v>0.35</v>
      </c>
      <c r="C3" s="4">
        <f>IS!C7/IS!C2</f>
        <v>0.355</v>
      </c>
      <c r="D3" s="4">
        <f>IS!D7/IS!D2</f>
        <v>0.36</v>
      </c>
      <c r="E3" s="4">
        <f>IS!E7/IS!E2</f>
        <v>0.365</v>
      </c>
      <c r="F3" s="4">
        <f>IS!F7/IS!F2</f>
        <v>0.37</v>
      </c>
    </row>
    <row r="4">
      <c r="A4" s="0" t="inlineStr">
        <is>
          <t xml:space="preserve">Net Margin %</t>
        </is>
      </c>
      <c r="B4" s="4">
        <f>IS!B13/IS!B2</f>
        <v>0.167875</v>
      </c>
      <c r="C4" s="4">
        <f>IS!C13/IS!C2</f>
        <v>0.176998</v>
      </c>
      <c r="D4" s="4">
        <f>IS!D13/IS!D2</f>
        <v>0.185502</v>
      </c>
      <c r="E4" s="4">
        <f>IS!E13/IS!E2</f>
        <v>0.193467</v>
      </c>
      <c r="F4" s="4">
        <f>IS!F13/IS!F2</f>
        <v>0.201211</v>
      </c>
    </row>
    <row r="5">
      <c r="A5" s="0" t="inlineStr">
        <is>
          <t xml:space="preserve">Debt / EBITDA</t>
        </is>
      </c>
      <c r="B5" s="7">
        <f>(BS!B17+BS!B20)/IS!B7</f>
        <v>5</v>
      </c>
      <c r="C5" s="7">
        <f>(BS!C17+BS!C20)/IS!C7</f>
        <v>4.560698</v>
      </c>
      <c r="D5" s="7">
        <f>(BS!D17+BS!D20)/IS!D7</f>
        <v>4.177109</v>
      </c>
      <c r="E5" s="7">
        <f>(BS!E17+BS!E20)/IS!E7</f>
        <v>3.841388</v>
      </c>
      <c r="F5" s="7">
        <f>(BS!F17+BS!F20)/IS!F7</f>
        <v>3.529862</v>
      </c>
    </row>
    <row r="6">
      <c r="A6" s="0" t="inlineStr">
        <is>
          <t xml:space="preserve">Interest Coverage (EBIT / Interest)</t>
        </is>
      </c>
      <c r="B6" s="7">
        <f>IS!B9/IS!B10</f>
        <v>3.428571</v>
      </c>
      <c r="C6" s="7">
        <f>IS!C9/IS!C10</f>
        <v>3.767647</v>
      </c>
      <c r="D6" s="7">
        <f>IS!D9/IS!D10</f>
        <v>4.123</v>
      </c>
      <c r="E6" s="7">
        <f>IS!E9/IS!E10</f>
        <v>4.493239</v>
      </c>
      <c r="F6" s="7">
        <f>IS!F9/IS!F10</f>
        <v>4.900276</v>
      </c>
    </row>
    <row r="7">
      <c r="A7" s="0" t="inlineStr">
        <is>
          <t xml:space="preserve">ROE %</t>
        </is>
      </c>
      <c r="B7" s="4">
        <f>IS!B13/BS!B30</f>
        <v>0.073468</v>
      </c>
      <c r="C7" s="4">
        <f>IS!C13/BS!C30</f>
        <v>0.078155</v>
      </c>
      <c r="D7" s="4">
        <f>IS!D13/BS!D30</f>
        <v>0.082083</v>
      </c>
      <c r="E7" s="4">
        <f>IS!E13/BS!E30</f>
        <v>0.085238</v>
      </c>
      <c r="F7" s="4">
        <f>IS!F13/BS!F30</f>
        <v>0.088133</v>
      </c>
    </row>
    <row r="8">
      <c r="A8" s="1" t="inlineStr">
        <is>
          <t xml:space="preserve">Free Cash Flow</t>
        </is>
      </c>
      <c r="B8" s="3">
        <f>CF!B5+CF!B6</f>
        <v>342.06</v>
      </c>
      <c r="C8" s="3">
        <f>CF!C5+CF!C6</f>
        <v>377.774</v>
      </c>
      <c r="D8" s="3">
        <f>CF!D5+CF!D6</f>
        <v>412.105357</v>
      </c>
      <c r="E8" s="3">
        <f>CF!E5+CF!E6</f>
        <v>444.982499</v>
      </c>
      <c r="F8" s="3">
        <f>CF!F5+CF!F6</f>
        <v>479.87879</v>
      </c>
    </row>
  </sheetData>
</worksheet>
</file>