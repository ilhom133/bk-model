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Assumptions" sheetId="2" r:id="rId2"/>
    <sheet name="UnitEcon" sheetId="3" r:id="rId3"/>
    <sheet name="IS" sheetId="4" r:id="rId4"/>
    <sheet name="BS" sheetId="5" r:id="rId5"/>
    <sheet name="CF" sheetId="6" r:id="rId6"/>
    <sheet name="KPIs" sheetId="7" r:id="rId7"/>
  </sheets>
  <calcPr calcId="0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#,##0"/>
    <numFmt numFmtId="167" formatCode="0.0&quot;x&quot;"/>
    <numFmt numFmtId="168" formatCode="&quot;$&quot;#,##0"/>
    <numFmt numFmtId="169" formatCode="&quot;$&quot;#,##0.00"/>
    <numFmt numFmtId="170" formatCode="#,##0.000"/>
  </numFmts>
  <fonts count="6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9"/>
      <color rgb="FF808080"/>
      <name val="Calibri"/>
    </font>
    <font>
      <b/>
      <sz val="11"/>
      <color rgb="FF2E75B6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  <xf numFmtId="167" fontId="0" fillId="0" borderId="0" xfId="0" applyNumberFormat="1"/>
    <xf numFmtId="167" fontId="1" fillId="0" borderId="0" xfId="0" applyNumberFormat="1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164" fontId="1" fillId="4" borderId="0" xfId="0" applyNumberFormat="1" applyFont="1" applyFill="1"/>
    <xf numFmtId="165" fontId="1" fillId="4" borderId="0" xfId="0" applyNumberFormat="1" applyFont="1" applyFill="1"/>
    <xf numFmtId="166" fontId="1" fillId="4" borderId="0" xfId="0" applyNumberFormat="1" applyFont="1" applyFill="1"/>
    <xf numFmtId="169" fontId="1" fillId="4" borderId="0" xfId="0" applyNumberFormat="1" applyFont="1" applyFill="1"/>
    <xf numFmtId="167" fontId="1" fillId="4" borderId="0" xfId="0" applyNumberFormat="1" applyFont="1" applyFill="1"/>
    <xf numFmtId="0" fontId="1" fillId="4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30" customWidth="1"/>
    <col min="2" max="2" width="14" customWidth="1"/>
    <col min="3" max="3" width="46" customWidth="1"/>
    <col min="4" max="8" width="12" customWidth="1"/>
  </cols>
  <sheetData>
    <row r="1">
      <c r="A1" s="15" t="inlineStr">
        <is>
          <t xml:space="preserve">BURGER KING (RBI SEGMENT) - 3-STATEMENT MODEL &amp; QSR DASHBOARD</t>
        </is>
      </c>
      <c r="B1" s="15"/>
      <c r="C1" s="15"/>
      <c r="D1" s="15"/>
      <c r="E1" s="15"/>
      <c r="F1" s="15"/>
      <c r="G1" s="15"/>
      <c r="H1" s="15"/>
    </row>
    <row r="2">
      <c r="A2" s="22" t="inlineStr">
        <is>
          <t xml:space="preserve">USD millions unless noted  |  2024A - 2028E  |  Fully integrated &amp; balanced (BS check = 0)</t>
        </is>
      </c>
    </row>
    <row r="3"/>
    <row r="4">
      <c r="A4" s="14" t="inlineStr">
        <is>
          <t xml:space="preserve">HEADLINE KPIs</t>
        </is>
      </c>
      <c r="B4" s="14"/>
      <c r="C4" s="14"/>
      <c r="D4" s="14"/>
      <c r="E4" s="14"/>
      <c r="F4" s="14"/>
      <c r="G4" s="14"/>
      <c r="H4" s="14"/>
    </row>
    <row r="5">
      <c r="A5" s="13" t="inlineStr">
        <is>
          <t xml:space="preserve">Metric</t>
        </is>
      </c>
      <c r="B5" s="13" t="inlineStr">
        <is>
          <t xml:space="preserve">2024A</t>
        </is>
      </c>
      <c r="C5" s="13" t="inlineStr">
        <is>
          <t xml:space="preserve">2028E</t>
        </is>
      </c>
      <c r="D5" s="13" t="inlineStr">
        <is>
          <t xml:space="preserve">'24-'28</t>
        </is>
      </c>
      <c r="E5" s="13"/>
      <c r="F5" s="13"/>
      <c r="G5" s="13"/>
      <c r="H5" s="13"/>
    </row>
    <row r="6">
      <c r="A6" s="21" t="inlineStr">
        <is>
          <t xml:space="preserve">System-Wide Sales ($M)</t>
        </is>
      </c>
      <c r="B6" s="16">
        <f>UnitEcon!B12</f>
        <v>26325</v>
      </c>
      <c r="C6" s="16">
        <f>UnitEcon!F12</f>
        <v>31293.767682</v>
      </c>
      <c r="D6" s="17">
        <f>(C6/B6)^(1/4)-1</f>
        <v>0.044173</v>
      </c>
    </row>
    <row r="7">
      <c r="A7" s="21" t="inlineStr">
        <is>
          <t xml:space="preserve">Total Revenue ($M)</t>
        </is>
      </c>
      <c r="B7" s="16">
        <f>IS!B7</f>
        <v>1999.08</v>
      </c>
      <c r="C7" s="16">
        <f>IS!F7</f>
        <v>2208.373872</v>
      </c>
      <c r="D7" s="17">
        <f>(C7/B7)^(1/4)-1</f>
        <v>0.025205</v>
      </c>
    </row>
    <row r="8">
      <c r="A8" s="21" t="inlineStr">
        <is>
          <t xml:space="preserve">Adjusted EBITDA ($M)</t>
        </is>
      </c>
      <c r="B8" s="16">
        <f>IS!B13</f>
        <v>1064.9556</v>
      </c>
      <c r="C8" s="16">
        <f>IS!F13</f>
        <v>1264.227124</v>
      </c>
      <c r="D8" s="17">
        <f>(C8/B8)^(1/4)-1</f>
        <v>0.043815</v>
      </c>
    </row>
    <row r="9">
      <c r="A9" s="21" t="inlineStr">
        <is>
          <t xml:space="preserve">Net Income ($M)</t>
        </is>
      </c>
      <c r="B9" s="16">
        <f>IS!B20</f>
        <v>549.058532</v>
      </c>
      <c r="C9" s="16">
        <f>IS!F20</f>
        <v>728.162506</v>
      </c>
      <c r="D9" s="17">
        <f>(C9/B9)^(1/4)-1</f>
        <v>0.07313</v>
      </c>
    </row>
    <row r="10">
      <c r="A10" s="21" t="inlineStr">
        <is>
          <t xml:space="preserve">Free Cash Flow ($M)</t>
        </is>
      </c>
      <c r="B10" s="16">
        <f>CF!B5+CF!B6</f>
        <v>552.955275</v>
      </c>
      <c r="C10" s="16">
        <f>CF!F5+CF!F6</f>
        <v>720.467356</v>
      </c>
      <c r="D10" s="17">
        <f>(C10/B10)^(1/4)-1</f>
        <v>0.068393</v>
      </c>
    </row>
    <row r="11">
      <c r="A11" s="21" t="inlineStr">
        <is>
          <t xml:space="preserve">Total Units</t>
        </is>
      </c>
      <c r="B11" s="18">
        <f>UnitEcon!B3</f>
        <v>19500</v>
      </c>
      <c r="C11" s="18">
        <f>UnitEcon!F3</f>
        <v>20696.589237</v>
      </c>
      <c r="D11" s="17">
        <f>(C11/B11)^(1/4)-1</f>
        <v>0.015</v>
      </c>
    </row>
    <row r="12">
      <c r="A12" s="21" t="inlineStr">
        <is>
          <t xml:space="preserve">EBITDA Margin %</t>
        </is>
      </c>
      <c r="B12" s="17">
        <f>IS!B14</f>
        <v>0.532723</v>
      </c>
      <c r="C12" s="17">
        <f>IS!F14</f>
        <v>0.57247</v>
      </c>
      <c r="D12" s="17">
        <f>C12-B12</f>
        <v>0.039747</v>
      </c>
    </row>
    <row r="13">
      <c r="A13" s="21" t="inlineStr">
        <is>
          <t xml:space="preserve">Net Debt / EBITDA (x)</t>
        </is>
      </c>
      <c r="B13" s="20">
        <f>(BS!B17+BS!B20-BS!B3)/IS!B13</f>
        <v>3.756025</v>
      </c>
      <c r="C13" s="20">
        <f>(BS!F17+BS!F20-BS!F3)/IS!F13</f>
        <v>1.916445</v>
      </c>
      <c r="D13" s="20">
        <f>C13-B13</f>
        <v>-1.83958</v>
      </c>
    </row>
    <row r="14">
      <c r="A14" s="21" t="inlineStr">
        <is>
          <t xml:space="preserve">ROE %</t>
        </is>
      </c>
      <c r="B14" s="17">
        <f>IS!B20/BS!B30</f>
        <v>0.145639</v>
      </c>
      <c r="C14" s="17">
        <f>IS!F20/BS!F30</f>
        <v>0.135839</v>
      </c>
      <c r="D14" s="17">
        <f>C14-B14</f>
        <v>-0.0098</v>
      </c>
    </row>
    <row r="15"/>
    <row r="16">
      <c r="A16" s="14" t="inlineStr">
        <is>
          <t xml:space="preserve">VISUAL TRENDS  (each █ scaled to series max)</t>
        </is>
      </c>
      <c r="B16" s="14"/>
      <c r="C16" s="14"/>
      <c r="D16" s="14"/>
      <c r="E16" s="14"/>
      <c r="F16" s="14"/>
      <c r="G16" s="14"/>
      <c r="H16" s="14"/>
    </row>
    <row r="17">
      <c r="A17" s="1" t="inlineStr">
        <is>
          <t xml:space="preserve">Total Revenue ($M)</t>
        </is>
      </c>
      <c r="B17" s="0"/>
      <c r="C17" s="0"/>
    </row>
    <row r="18">
      <c r="A18" s="0">
        <v>2024</v>
      </c>
      <c r="B18" s="2">
        <f>IS!B7</f>
        <v>1999.08</v>
      </c>
      <c r="C18" s="23" t="str">
        <f>REPT("█",ROUND((IS!B7)/88.33,0))</f>
        <v>███████████████████████</v>
      </c>
    </row>
    <row r="19">
      <c r="A19" s="0">
        <v>2025</v>
      </c>
      <c r="B19" s="2">
        <f>IS!C7</f>
        <v>2054.843007</v>
      </c>
      <c r="C19" s="23" t="str">
        <f>REPT("█",ROUND((IS!C7)/88.33,0))</f>
        <v>███████████████████████</v>
      </c>
    </row>
    <row r="20">
      <c r="A20" s="0">
        <v>2026</v>
      </c>
      <c r="B20" s="2">
        <f>IS!D7</f>
        <v>2102.245693</v>
      </c>
      <c r="C20" s="23" t="str">
        <f>REPT("█",ROUND((IS!D7)/88.33,0))</f>
        <v>████████████████████████</v>
      </c>
    </row>
    <row r="21">
      <c r="A21" s="0">
        <v>2027</v>
      </c>
      <c r="B21" s="2">
        <f>IS!E7</f>
        <v>2154.451429</v>
      </c>
      <c r="C21" s="23" t="str">
        <f>REPT("█",ROUND((IS!E7)/88.33,0))</f>
        <v>████████████████████████</v>
      </c>
    </row>
    <row r="22">
      <c r="A22" s="0">
        <v>2028</v>
      </c>
      <c r="B22" s="2">
        <f>IS!F7</f>
        <v>2208.373872</v>
      </c>
      <c r="C22" s="23" t="str">
        <f>REPT("█",ROUND((IS!F7)/88.33,0))</f>
        <v>█████████████████████████</v>
      </c>
    </row>
    <row r="23">
      <c r="A23" s="1" t="inlineStr">
        <is>
          <t xml:space="preserve">Adjusted EBITDA ($M)</t>
        </is>
      </c>
      <c r="B23" s="0"/>
      <c r="C23" s="0"/>
    </row>
    <row r="24">
      <c r="A24" s="0">
        <v>2024</v>
      </c>
      <c r="B24" s="2">
        <f>IS!B13</f>
        <v>1064.9556</v>
      </c>
      <c r="C24" s="23" t="str">
        <f>REPT("█",ROUND((IS!B13)/50.57,0))</f>
        <v>█████████████████████</v>
      </c>
    </row>
    <row r="25">
      <c r="A25" s="0">
        <v>2025</v>
      </c>
      <c r="B25" s="2">
        <f>IS!C13</f>
        <v>1118.295133</v>
      </c>
      <c r="C25" s="23" t="str">
        <f>REPT("█",ROUND((IS!C13)/50.57,0))</f>
        <v>██████████████████████</v>
      </c>
    </row>
    <row r="26">
      <c r="A26" s="0">
        <v>2026</v>
      </c>
      <c r="B26" s="2">
        <f>IS!D13</f>
        <v>1168.646556</v>
      </c>
      <c r="C26" s="23" t="str">
        <f>REPT("█",ROUND((IS!D13)/50.57,0))</f>
        <v>███████████████████████</v>
      </c>
    </row>
    <row r="27">
      <c r="A27" s="0">
        <v>2027</v>
      </c>
      <c r="B27" s="2">
        <f>IS!E13</f>
        <v>1215.493145</v>
      </c>
      <c r="C27" s="23" t="str">
        <f>REPT("█",ROUND((IS!E13)/50.57,0))</f>
        <v>████████████████████████</v>
      </c>
    </row>
    <row r="28">
      <c r="A28" s="0">
        <v>2028</v>
      </c>
      <c r="B28" s="2">
        <f>IS!F13</f>
        <v>1264.227124</v>
      </c>
      <c r="C28" s="23" t="str">
        <f>REPT("█",ROUND((IS!F13)/50.57,0))</f>
        <v>█████████████████████████</v>
      </c>
    </row>
    <row r="29">
      <c r="A29" s="1" t="inlineStr">
        <is>
          <t xml:space="preserve">System-Wide Sales ($M)</t>
        </is>
      </c>
      <c r="B29" s="0"/>
      <c r="C29" s="0"/>
    </row>
    <row r="30">
      <c r="A30" s="0">
        <v>2024</v>
      </c>
      <c r="B30" s="2">
        <f>UnitEcon!B12</f>
        <v>26325</v>
      </c>
      <c r="C30" s="23" t="str">
        <f>REPT("█",ROUND((UnitEcon!B12)/1251.75,0))</f>
        <v>█████████████████████</v>
      </c>
    </row>
    <row r="31">
      <c r="A31" s="0">
        <v>2025</v>
      </c>
      <c r="B31" s="2">
        <f>UnitEcon!C12</f>
        <v>27655.070625</v>
      </c>
      <c r="C31" s="23" t="str">
        <f>REPT("█",ROUND((UnitEcon!C12)/1251.75,0))</f>
        <v>██████████████████████</v>
      </c>
    </row>
    <row r="32">
      <c r="A32" s="0">
        <v>2026</v>
      </c>
      <c r="B32" s="2">
        <f>UnitEcon!D12</f>
        <v>28911.993585</v>
      </c>
      <c r="C32" s="23" t="str">
        <f>REPT("█",ROUND((UnitEcon!D12)/1251.75,0))</f>
        <v>███████████████████████</v>
      </c>
    </row>
    <row r="33">
      <c r="A33" s="0">
        <v>2027</v>
      </c>
      <c r="B33" s="2">
        <f>UnitEcon!E12</f>
        <v>30079.315326</v>
      </c>
      <c r="C33" s="23" t="str">
        <f>REPT("█",ROUND((UnitEcon!E12)/1251.75,0))</f>
        <v>████████████████████████</v>
      </c>
    </row>
    <row r="34">
      <c r="A34" s="0">
        <v>2028</v>
      </c>
      <c r="B34" s="2">
        <f>UnitEcon!F12</f>
        <v>31293.767682</v>
      </c>
      <c r="C34" s="23" t="str">
        <f>REPT("█",ROUND((UnitEcon!F12)/1251.75,0))</f>
        <v>█████████████████████████</v>
      </c>
    </row>
    <row r="35">
      <c r="A35" s="1" t="inlineStr">
        <is>
          <t xml:space="preserve">Free Cash Flow ($M)</t>
        </is>
      </c>
      <c r="B35" s="0"/>
      <c r="C35" s="0"/>
    </row>
    <row r="36">
      <c r="A36" s="0">
        <v>2024</v>
      </c>
      <c r="B36" s="2">
        <f>CF!B5+CF!B6</f>
        <v>552.955275</v>
      </c>
      <c r="C36" s="23" t="str">
        <f>REPT("█",ROUND((CF!B5+CF!B6)/28.82,0))</f>
        <v>███████████████████</v>
      </c>
    </row>
    <row r="37">
      <c r="A37" s="0">
        <v>2025</v>
      </c>
      <c r="B37" s="2">
        <f>CF!C5+CF!C6</f>
        <v>597.588307</v>
      </c>
      <c r="C37" s="23" t="str">
        <f>REPT("█",ROUND((CF!C5+CF!C6)/28.82,0))</f>
        <v>█████████████████████</v>
      </c>
    </row>
    <row r="38">
      <c r="A38" s="0">
        <v>2026</v>
      </c>
      <c r="B38" s="2">
        <f>CF!D5+CF!D6</f>
        <v>639.921022</v>
      </c>
      <c r="C38" s="23" t="str">
        <f>REPT("█",ROUND((CF!D5+CF!D6)/28.82,0))</f>
        <v>██████████████████████</v>
      </c>
    </row>
    <row r="39">
      <c r="A39" s="0">
        <v>2027</v>
      </c>
      <c r="B39" s="2">
        <f>CF!E5+CF!E6</f>
        <v>679.528923</v>
      </c>
      <c r="C39" s="23" t="str">
        <f>REPT("█",ROUND((CF!E5+CF!E6)/28.82,0))</f>
        <v>████████████████████████</v>
      </c>
    </row>
    <row r="40">
      <c r="A40" s="0">
        <v>2028</v>
      </c>
      <c r="B40" s="2">
        <f>CF!F5+CF!F6</f>
        <v>720.467356</v>
      </c>
      <c r="C40" s="23" t="str">
        <f>REPT("█",ROUND((CF!F5+CF!F6)/28.82,0))</f>
        <v>█████████████████████████</v>
      </c>
    </row>
    <row r="41">
      <c r="A41" s="1" t="inlineStr">
        <is>
          <t xml:space="preserve">Total Units</t>
        </is>
      </c>
      <c r="B41" s="0"/>
      <c r="C41" s="0"/>
    </row>
    <row r="42">
      <c r="A42" s="0">
        <v>2024</v>
      </c>
      <c r="B42" s="2">
        <f>UnitEcon!B3</f>
        <v>19500</v>
      </c>
      <c r="C42" s="23" t="str">
        <f>REPT("█",ROUND((UnitEcon!B3)/827.86,0))</f>
        <v>████████████████████████</v>
      </c>
    </row>
    <row r="43">
      <c r="A43" s="0">
        <v>2025</v>
      </c>
      <c r="B43" s="2">
        <f>UnitEcon!C3</f>
        <v>19792.5</v>
      </c>
      <c r="C43" s="23" t="str">
        <f>REPT("█",ROUND((UnitEcon!C3)/827.86,0))</f>
        <v>████████████████████████</v>
      </c>
    </row>
    <row r="44">
      <c r="A44" s="0">
        <v>2026</v>
      </c>
      <c r="B44" s="2">
        <f>UnitEcon!D3</f>
        <v>20089.3875</v>
      </c>
      <c r="C44" s="23" t="str">
        <f>REPT("█",ROUND((UnitEcon!D3)/827.86,0))</f>
        <v>████████████████████████</v>
      </c>
    </row>
    <row r="45">
      <c r="A45" s="0">
        <v>2027</v>
      </c>
      <c r="B45" s="2">
        <f>UnitEcon!E3</f>
        <v>20390.728312</v>
      </c>
      <c r="C45" s="23" t="str">
        <f>REPT("█",ROUND((UnitEcon!E3)/827.86,0))</f>
        <v>█████████████████████████</v>
      </c>
    </row>
    <row r="46">
      <c r="A46" s="0">
        <v>2028</v>
      </c>
      <c r="B46" s="2">
        <f>UnitEcon!F3</f>
        <v>20696.589237</v>
      </c>
      <c r="C46" s="23" t="str">
        <f>REPT("█",ROUND((UnitEcon!F3)/827.86,0))</f>
        <v>█████████████████████████</v>
      </c>
    </row>
    <row r="47"/>
    <row r="48">
      <c r="A48" s="22" t="inlineStr">
        <is>
          <t xml:space="preserve">Tabs: Assumptions | UnitEcon | IS | BS | CF | KPIs.  2024 = base/actual; 2025-2028 = live formulas.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4" customWidth="1"/>
    <col min="2" max="6" width="15" customWidth="1"/>
  </cols>
  <sheetData>
    <row r="1">
      <c r="A1" s="13" t="inlineStr">
        <is>
          <t xml:space="preserve">ASSUMPTIONS  (USD millions unless noted)</t>
        </is>
      </c>
      <c r="B1" s="13">
        <v>2024</v>
      </c>
      <c r="C1" s="13">
        <v>2025</v>
      </c>
      <c r="D1" s="13">
        <v>2026</v>
      </c>
      <c r="E1" s="13">
        <v>2027</v>
      </c>
      <c r="F1" s="13">
        <v>2028</v>
      </c>
    </row>
    <row r="2">
      <c r="A2" s="14" t="inlineStr">
        <is>
          <t xml:space="preserve">UNIT &amp; SALES DRIVERS</t>
        </is>
      </c>
      <c r="B2" s="14"/>
      <c r="C2" s="14"/>
      <c r="D2" s="14"/>
      <c r="E2" s="14"/>
      <c r="F2" s="14"/>
    </row>
    <row r="3">
      <c r="A3" s="0" t="inlineStr">
        <is>
          <t xml:space="preserve">Same-Store Sales (SSS) %</t>
        </is>
      </c>
      <c r="B3" s="4">
        <v>0.03</v>
      </c>
      <c r="C3" s="4">
        <v>0.035</v>
      </c>
      <c r="D3" s="4">
        <v>0.03</v>
      </c>
      <c r="E3" s="4">
        <v>0.025</v>
      </c>
      <c r="F3" s="4">
        <v>0.025</v>
      </c>
    </row>
    <row r="4">
      <c r="A4" s="0" t="inlineStr">
        <is>
          <t xml:space="preserve">Net Unit Growth %</t>
        </is>
      </c>
      <c r="C4" s="4">
        <v>0.015</v>
      </c>
      <c r="D4" s="4">
        <v>0.015</v>
      </c>
      <c r="E4" s="4">
        <v>0.015</v>
      </c>
      <c r="F4" s="4">
        <v>0.015</v>
      </c>
    </row>
    <row r="5">
      <c r="A5" s="0" t="inlineStr">
        <is>
          <t xml:space="preserve">Gross Openings (% beg. units)</t>
        </is>
      </c>
      <c r="B5" s="4">
        <v>0.03</v>
      </c>
      <c r="C5" s="4">
        <v>0.03</v>
      </c>
      <c r="D5" s="4">
        <v>0.03</v>
      </c>
      <c r="E5" s="4">
        <v>0.03</v>
      </c>
      <c r="F5" s="4">
        <v>0.03</v>
      </c>
    </row>
    <row r="6">
      <c r="A6" s="0" t="inlineStr">
        <is>
          <t xml:space="preserve">Closures (% beg. units)</t>
        </is>
      </c>
      <c r="B6" s="4">
        <v>0.015</v>
      </c>
      <c r="C6" s="4">
        <v>0.015</v>
      </c>
      <c r="D6" s="4">
        <v>0.015</v>
      </c>
      <c r="E6" s="4">
        <v>0.015</v>
      </c>
      <c r="F6" s="4">
        <v>0.015</v>
      </c>
    </row>
    <row r="7">
      <c r="A7" s="0" t="inlineStr">
        <is>
          <t xml:space="preserve">Company-Operated Units (#)</t>
        </is>
      </c>
      <c r="B7" s="6">
        <v>300</v>
      </c>
      <c r="C7" s="6">
        <v>270</v>
      </c>
      <c r="D7" s="6">
        <v>240</v>
      </c>
      <c r="E7" s="6">
        <v>220</v>
      </c>
      <c r="F7" s="6">
        <v>200</v>
      </c>
    </row>
    <row r="8">
      <c r="A8" s="0" t="inlineStr">
        <is>
          <t xml:space="preserve">AUV - System ($M / unit)</t>
        </is>
      </c>
      <c r="B8" s="12">
        <v>1.35</v>
      </c>
      <c r="C8" s="12">
        <f>B8*(1+C3)</f>
        <v>1.39725</v>
      </c>
      <c r="D8" s="12">
        <f>C8*(1+D3)</f>
        <v>1.439167</v>
      </c>
      <c r="E8" s="12">
        <f>D8*(1+E3)</f>
        <v>1.475147</v>
      </c>
      <c r="F8" s="12">
        <f>E8*(1+F3)</f>
        <v>1.512025</v>
      </c>
    </row>
    <row r="9">
      <c r="A9" s="14" t="inlineStr">
        <is>
          <t xml:space="preserve">PRICING / FRANCHISE ECONOMICS</t>
        </is>
      </c>
      <c r="B9" s="14"/>
      <c r="C9" s="14"/>
      <c r="D9" s="14"/>
      <c r="E9" s="14"/>
      <c r="F9" s="14"/>
    </row>
    <row r="10">
      <c r="A10" s="0" t="inlineStr">
        <is>
          <t xml:space="preserve">Royalty Rate %</t>
        </is>
      </c>
      <c r="B10" s="4">
        <v>0.045</v>
      </c>
      <c r="C10" s="4">
        <v>0.045</v>
      </c>
      <c r="D10" s="4">
        <v>0.045</v>
      </c>
      <c r="E10" s="4">
        <v>0.045</v>
      </c>
      <c r="F10" s="4">
        <v>0.045</v>
      </c>
    </row>
    <row r="11">
      <c r="A11" s="0" t="inlineStr">
        <is>
          <t xml:space="preserve">Property Revenue Rate %</t>
        </is>
      </c>
      <c r="B11" s="4">
        <v>0.015</v>
      </c>
      <c r="C11" s="4">
        <v>0.015</v>
      </c>
      <c r="D11" s="4">
        <v>0.015</v>
      </c>
      <c r="E11" s="4">
        <v>0.015</v>
      </c>
      <c r="F11" s="4">
        <v>0.015</v>
      </c>
    </row>
    <row r="12">
      <c r="A12" s="0" t="inlineStr">
        <is>
          <t xml:space="preserve">Franchise Fees &amp; Other Rate %</t>
        </is>
      </c>
      <c r="B12" s="4">
        <v>0.0015</v>
      </c>
      <c r="C12" s="4">
        <v>0.0015</v>
      </c>
      <c r="D12" s="4">
        <v>0.0015</v>
      </c>
      <c r="E12" s="4">
        <v>0.0015</v>
      </c>
      <c r="F12" s="4">
        <v>0.0015</v>
      </c>
    </row>
    <row r="13">
      <c r="A13" s="0" t="inlineStr">
        <is>
          <t xml:space="preserve">Cost of Company Sales %</t>
        </is>
      </c>
      <c r="B13" s="4">
        <v>0.82</v>
      </c>
      <c r="C13" s="4">
        <v>0.82</v>
      </c>
      <c r="D13" s="4">
        <v>0.82</v>
      </c>
      <c r="E13" s="4">
        <v>0.82</v>
      </c>
      <c r="F13" s="4">
        <v>0.82</v>
      </c>
    </row>
    <row r="14">
      <c r="A14" s="0" t="inlineStr">
        <is>
          <t xml:space="preserve">Franchise &amp; Property Cost %</t>
        </is>
      </c>
      <c r="B14" s="4">
        <v>0.22</v>
      </c>
      <c r="C14" s="4">
        <v>0.22</v>
      </c>
      <c r="D14" s="4">
        <v>0.22</v>
      </c>
      <c r="E14" s="4">
        <v>0.22</v>
      </c>
      <c r="F14" s="4">
        <v>0.22</v>
      </c>
    </row>
    <row r="15">
      <c r="A15" s="0" t="inlineStr">
        <is>
          <t xml:space="preserve">G&amp;A % of Revenue</t>
        </is>
      </c>
      <c r="B15" s="4">
        <v>0.13</v>
      </c>
      <c r="C15" s="4">
        <v>0.13</v>
      </c>
      <c r="D15" s="4">
        <v>0.13</v>
      </c>
      <c r="E15" s="4">
        <v>0.13</v>
      </c>
      <c r="F15" s="4">
        <v>0.13</v>
      </c>
    </row>
    <row r="16">
      <c r="A16" s="14" t="inlineStr">
        <is>
          <t xml:space="preserve">CAPITAL &amp; FINANCING</t>
        </is>
      </c>
      <c r="B16" s="14"/>
      <c r="C16" s="14"/>
      <c r="D16" s="14"/>
      <c r="E16" s="14"/>
      <c r="F16" s="14"/>
    </row>
    <row r="17">
      <c r="A17" s="0" t="inlineStr">
        <is>
          <t xml:space="preserve">Depreciation &amp; Amort. % Rev</t>
        </is>
      </c>
      <c r="B17" s="4">
        <v>0.06</v>
      </c>
      <c r="C17" s="4">
        <v>0.06</v>
      </c>
      <c r="D17" s="4">
        <v>0.06</v>
      </c>
      <c r="E17" s="4">
        <v>0.06</v>
      </c>
      <c r="F17" s="4">
        <v>0.06</v>
      </c>
    </row>
    <row r="18">
      <c r="A18" s="0" t="inlineStr">
        <is>
          <t xml:space="preserve">Tax Rate %</t>
        </is>
      </c>
      <c r="B18" s="4">
        <v>0.21</v>
      </c>
      <c r="C18" s="4">
        <v>0.21</v>
      </c>
      <c r="D18" s="4">
        <v>0.21</v>
      </c>
      <c r="E18" s="4">
        <v>0.21</v>
      </c>
      <c r="F18" s="4">
        <v>0.21</v>
      </c>
    </row>
    <row r="19">
      <c r="A19" s="0" t="inlineStr">
        <is>
          <t xml:space="preserve">Interest Rate %</t>
        </is>
      </c>
      <c r="B19" s="4">
        <v>0.05</v>
      </c>
      <c r="C19" s="4">
        <v>0.05</v>
      </c>
      <c r="D19" s="4">
        <v>0.05</v>
      </c>
      <c r="E19" s="4">
        <v>0.05</v>
      </c>
      <c r="F19" s="4">
        <v>0.05</v>
      </c>
    </row>
    <row r="20">
      <c r="A20" s="0" t="inlineStr">
        <is>
          <t xml:space="preserve">CapEx per Store ($)</t>
        </is>
      </c>
      <c r="B20" s="10">
        <v>6000</v>
      </c>
      <c r="C20" s="10">
        <v>6200</v>
      </c>
      <c r="D20" s="10">
        <v>6400</v>
      </c>
      <c r="E20" s="10">
        <v>6600</v>
      </c>
      <c r="F20" s="10">
        <v>6800</v>
      </c>
    </row>
    <row r="21">
      <c r="A21" s="0" t="inlineStr">
        <is>
          <t xml:space="preserve">LT Debt Repayment ($M)</t>
        </is>
      </c>
      <c r="B21" s="2">
        <v>200</v>
      </c>
      <c r="C21" s="2">
        <v>200</v>
      </c>
      <c r="D21" s="2">
        <v>200</v>
      </c>
      <c r="E21" s="2">
        <v>200</v>
      </c>
      <c r="F21" s="2">
        <v>200</v>
      </c>
    </row>
    <row r="22">
      <c r="A22" s="0" t="inlineStr">
        <is>
          <t xml:space="preserve">Dividend Payout %</t>
        </is>
      </c>
      <c r="B22" s="4">
        <v>0.4</v>
      </c>
      <c r="C22" s="4">
        <v>0.4</v>
      </c>
      <c r="D22" s="4">
        <v>0.4</v>
      </c>
      <c r="E22" s="4">
        <v>0.4</v>
      </c>
      <c r="F22" s="4">
        <v>0.4</v>
      </c>
    </row>
    <row r="23">
      <c r="A23" s="0" t="inlineStr">
        <is>
          <t xml:space="preserve">Shares Outstanding (M)</t>
        </is>
      </c>
      <c r="B23" s="2">
        <v>320</v>
      </c>
      <c r="C23" s="2">
        <v>320</v>
      </c>
      <c r="D23" s="2">
        <v>320</v>
      </c>
      <c r="E23" s="2">
        <v>320</v>
      </c>
      <c r="F23" s="2">
        <v>320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4" customWidth="1"/>
    <col min="2" max="6" width="15" customWidth="1"/>
  </cols>
  <sheetData>
    <row r="1">
      <c r="A1" s="13" t="inlineStr">
        <is>
          <t xml:space="preserve">UNIT ECONOMICS  (store-level)</t>
        </is>
      </c>
      <c r="B1" s="13">
        <v>2024</v>
      </c>
      <c r="C1" s="13">
        <v>2025</v>
      </c>
      <c r="D1" s="13">
        <v>2026</v>
      </c>
      <c r="E1" s="13">
        <v>2027</v>
      </c>
      <c r="F1" s="13">
        <v>2028</v>
      </c>
    </row>
    <row r="2">
      <c r="A2" s="14" t="inlineStr">
        <is>
          <t xml:space="preserve">UNIT COUNTS</t>
        </is>
      </c>
      <c r="B2" s="14"/>
      <c r="C2" s="14"/>
      <c r="D2" s="14"/>
      <c r="E2" s="14"/>
      <c r="F2" s="14"/>
    </row>
    <row r="3">
      <c r="A3" s="1" t="inlineStr">
        <is>
          <t xml:space="preserve">Total Units (Ending)</t>
        </is>
      </c>
      <c r="B3" s="7">
        <v>19500</v>
      </c>
      <c r="C3" s="7">
        <f>B3*(1+Assumptions!C4)</f>
        <v>19792.5</v>
      </c>
      <c r="D3" s="7">
        <f>C3*(1+Assumptions!D4)</f>
        <v>20089.3875</v>
      </c>
      <c r="E3" s="7">
        <f>D3*(1+Assumptions!E4)</f>
        <v>20390.728312</v>
      </c>
      <c r="F3" s="7">
        <f>E3*(1+Assumptions!F4)</f>
        <v>20696.589237</v>
      </c>
    </row>
    <row r="4">
      <c r="A4" s="0" t="inlineStr">
        <is>
          <t xml:space="preserve">Net New Units</t>
        </is>
      </c>
      <c r="B4" s="6">
        <v>288</v>
      </c>
      <c r="C4" s="6">
        <f>C3-B3</f>
        <v>292.5</v>
      </c>
      <c r="D4" s="6">
        <f>D3-C3</f>
        <v>296.8875</v>
      </c>
      <c r="E4" s="6">
        <f>E3-D3</f>
        <v>301.340812</v>
      </c>
      <c r="F4" s="6">
        <f>F3-E3</f>
        <v>305.860925</v>
      </c>
    </row>
    <row r="5">
      <c r="A5" s="0" t="inlineStr">
        <is>
          <t xml:space="preserve">Gross Openings</t>
        </is>
      </c>
      <c r="B5" s="6">
        <v>576</v>
      </c>
      <c r="C5" s="6">
        <f>B3*Assumptions!C5</f>
        <v>585</v>
      </c>
      <c r="D5" s="6">
        <f>C3*Assumptions!D5</f>
        <v>593.775</v>
      </c>
      <c r="E5" s="6">
        <f>D3*Assumptions!E5</f>
        <v>602.681625</v>
      </c>
      <c r="F5" s="6">
        <f>E3*Assumptions!F5</f>
        <v>611.721849</v>
      </c>
    </row>
    <row r="6">
      <c r="A6" s="0" t="inlineStr">
        <is>
          <t xml:space="preserve">Closures</t>
        </is>
      </c>
      <c r="B6" s="6">
        <v>288</v>
      </c>
      <c r="C6" s="6">
        <f>B3*Assumptions!C6</f>
        <v>292.5</v>
      </c>
      <c r="D6" s="6">
        <f>C3*Assumptions!D6</f>
        <v>296.8875</v>
      </c>
      <c r="E6" s="6">
        <f>D3*Assumptions!E6</f>
        <v>301.340812</v>
      </c>
      <c r="F6" s="6">
        <f>E3*Assumptions!F6</f>
        <v>305.860925</v>
      </c>
    </row>
    <row r="7">
      <c r="A7" s="0" t="inlineStr">
        <is>
          <t xml:space="preserve">Company-Operated Units</t>
        </is>
      </c>
      <c r="B7" s="6">
        <f>Assumptions!B7</f>
        <v>300</v>
      </c>
      <c r="C7" s="6">
        <f>Assumptions!C7</f>
        <v>270</v>
      </c>
      <c r="D7" s="6">
        <f>Assumptions!D7</f>
        <v>240</v>
      </c>
      <c r="E7" s="6">
        <f>Assumptions!E7</f>
        <v>220</v>
      </c>
      <c r="F7" s="6">
        <f>Assumptions!F7</f>
        <v>200</v>
      </c>
    </row>
    <row r="8">
      <c r="A8" s="0" t="inlineStr">
        <is>
          <t xml:space="preserve">Franchised Units</t>
        </is>
      </c>
      <c r="B8" s="6">
        <f>B3-B7</f>
        <v>19200</v>
      </c>
      <c r="C8" s="6">
        <f>C3-C7</f>
        <v>19522.5</v>
      </c>
      <c r="D8" s="6">
        <f>D3-D7</f>
        <v>19849.3875</v>
      </c>
      <c r="E8" s="6">
        <f>E3-E7</f>
        <v>20170.728312</v>
      </c>
      <c r="F8" s="6">
        <f>F3-F7</f>
        <v>20496.589237</v>
      </c>
    </row>
    <row r="9">
      <c r="A9" s="0" t="inlineStr">
        <is>
          <t xml:space="preserve">% Franchised</t>
        </is>
      </c>
      <c r="B9" s="4">
        <f>B8/B3</f>
        <v>0.984615</v>
      </c>
      <c r="C9" s="4">
        <f>C8/C3</f>
        <v>0.986358</v>
      </c>
      <c r="D9" s="4">
        <f>D8/D3</f>
        <v>0.988053</v>
      </c>
      <c r="E9" s="4">
        <f>E8/E3</f>
        <v>0.989211</v>
      </c>
      <c r="F9" s="4">
        <f>F8/F3</f>
        <v>0.990337</v>
      </c>
    </row>
    <row r="10">
      <c r="A10" s="14" t="inlineStr">
        <is>
          <t xml:space="preserve">UNIT VOLUMES &amp; SYSTEM SALES</t>
        </is>
      </c>
      <c r="B10" s="14"/>
      <c r="C10" s="14"/>
      <c r="D10" s="14"/>
      <c r="E10" s="14"/>
      <c r="F10" s="14"/>
    </row>
    <row r="11">
      <c r="A11" s="0" t="inlineStr">
        <is>
          <t xml:space="preserve">AUV - System ($M / unit)</t>
        </is>
      </c>
      <c r="B11" s="12">
        <f>Assumptions!B8</f>
        <v>1.35</v>
      </c>
      <c r="C11" s="12">
        <f>Assumptions!C8</f>
        <v>1.39725</v>
      </c>
      <c r="D11" s="12">
        <f>Assumptions!D8</f>
        <v>1.439167</v>
      </c>
      <c r="E11" s="12">
        <f>Assumptions!E8</f>
        <v>1.475147</v>
      </c>
      <c r="F11" s="12">
        <f>Assumptions!F8</f>
        <v>1.512025</v>
      </c>
    </row>
    <row r="12">
      <c r="A12" s="1" t="inlineStr">
        <is>
          <t xml:space="preserve">System-Wide Sales ($M)</t>
        </is>
      </c>
      <c r="B12" s="3">
        <f>B3*B11</f>
        <v>26325</v>
      </c>
      <c r="C12" s="3">
        <f>C3*C11</f>
        <v>27655.070625</v>
      </c>
      <c r="D12" s="3">
        <f>D3*D11</f>
        <v>28911.993585</v>
      </c>
      <c r="E12" s="3">
        <f>E3*E11</f>
        <v>30079.315326</v>
      </c>
      <c r="F12" s="3">
        <f>F3*F11</f>
        <v>31293.767682</v>
      </c>
    </row>
    <row r="13">
      <c r="A13" s="0" t="inlineStr">
        <is>
          <t xml:space="preserve">Company Restaurant Sales ($M)</t>
        </is>
      </c>
      <c r="B13" s="2">
        <f>B7*B11</f>
        <v>405</v>
      </c>
      <c r="C13" s="2">
        <f>C7*C11</f>
        <v>377.2575</v>
      </c>
      <c r="D13" s="2">
        <f>D7*D11</f>
        <v>345.4002</v>
      </c>
      <c r="E13" s="2">
        <f>E7*E11</f>
        <v>324.532271</v>
      </c>
      <c r="F13" s="2">
        <f>F7*F11</f>
        <v>302.405071</v>
      </c>
    </row>
    <row r="14">
      <c r="A14" s="0" t="inlineStr">
        <is>
          <t xml:space="preserve">Franchised System Sales ($M)</t>
        </is>
      </c>
      <c r="B14" s="2">
        <f>B8*B11</f>
        <v>25920</v>
      </c>
      <c r="C14" s="2">
        <f>C8*C11</f>
        <v>27277.813125</v>
      </c>
      <c r="D14" s="2">
        <f>D8*D11</f>
        <v>28566.593385</v>
      </c>
      <c r="E14" s="2">
        <f>E8*E11</f>
        <v>29754.783055</v>
      </c>
      <c r="F14" s="2">
        <f>F8*F11</f>
        <v>30991.362611</v>
      </c>
    </row>
    <row r="15">
      <c r="A15" s="0" t="inlineStr">
        <is>
          <t xml:space="preserve">System Sales Growth %</t>
        </is>
      </c>
      <c r="C15" s="4">
        <f>C12/B12-1</f>
        <v>0.050525</v>
      </c>
      <c r="D15" s="4">
        <f>D12/C12-1</f>
        <v>0.04545</v>
      </c>
      <c r="E15" s="4">
        <f>E12/D12-1</f>
        <v>0.040375</v>
      </c>
      <c r="F15" s="4">
        <f>F12/E12-1</f>
        <v>0.040375</v>
      </c>
    </row>
    <row r="16">
      <c r="A16" s="14" t="inlineStr">
        <is>
          <t xml:space="preserve">STORE-LEVEL (4-WALL) P&amp;L</t>
        </is>
      </c>
      <c r="B16" s="14"/>
      <c r="C16" s="14"/>
      <c r="D16" s="14"/>
      <c r="E16" s="14"/>
      <c r="F16" s="14"/>
    </row>
    <row r="17">
      <c r="A17" s="0" t="inlineStr">
        <is>
          <t xml:space="preserve">Avg Sales / Company Unit ($M)</t>
        </is>
      </c>
      <c r="B17" s="12">
        <f>B13/B7</f>
        <v>1.35</v>
      </c>
      <c r="C17" s="12">
        <f>C13/C7</f>
        <v>1.39725</v>
      </c>
      <c r="D17" s="12">
        <f>D13/D7</f>
        <v>1.439167</v>
      </c>
      <c r="E17" s="12">
        <f>E13/E7</f>
        <v>1.475147</v>
      </c>
      <c r="F17" s="12">
        <f>F13/F7</f>
        <v>1.512025</v>
      </c>
    </row>
    <row r="18">
      <c r="A18" s="0" t="inlineStr">
        <is>
          <t xml:space="preserve">Restaurant-Level Costs ($M)</t>
        </is>
      </c>
      <c r="B18" s="2">
        <f>B13*Assumptions!B13</f>
        <v>332.1</v>
      </c>
      <c r="C18" s="2">
        <f>C13*Assumptions!C13</f>
        <v>309.35115</v>
      </c>
      <c r="D18" s="2">
        <f>D13*Assumptions!D13</f>
        <v>283.228164</v>
      </c>
      <c r="E18" s="2">
        <f>E13*Assumptions!E13</f>
        <v>266.116462</v>
      </c>
      <c r="F18" s="2">
        <f>F13*Assumptions!F13</f>
        <v>247.972158</v>
      </c>
    </row>
    <row r="19">
      <c r="A19" s="0" t="inlineStr">
        <is>
          <t xml:space="preserve">Restaurant-Level EBITDA ($M)</t>
        </is>
      </c>
      <c r="B19" s="2">
        <f>B13-B18</f>
        <v>72.9</v>
      </c>
      <c r="C19" s="2">
        <f>C13-C18</f>
        <v>67.90635</v>
      </c>
      <c r="D19" s="2">
        <f>D13-D18</f>
        <v>62.172036</v>
      </c>
      <c r="E19" s="2">
        <f>E13-E18</f>
        <v>58.415809</v>
      </c>
      <c r="F19" s="2">
        <f>F13-F18</f>
        <v>54.432913</v>
      </c>
    </row>
    <row r="20">
      <c r="A20" s="1" t="inlineStr">
        <is>
          <t xml:space="preserve">Restaurant-Level Margin %</t>
        </is>
      </c>
      <c r="B20" s="5">
        <f>B19/B13</f>
        <v>0.18</v>
      </c>
      <c r="C20" s="5">
        <f>C19/C13</f>
        <v>0.18</v>
      </c>
      <c r="D20" s="5">
        <f>D19/D13</f>
        <v>0.18</v>
      </c>
      <c r="E20" s="5">
        <f>E19/E13</f>
        <v>0.18</v>
      </c>
      <c r="F20" s="5">
        <f>F19/F13</f>
        <v>0.18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4" customWidth="1"/>
    <col min="2" max="6" width="15" customWidth="1"/>
  </cols>
  <sheetData>
    <row r="1">
      <c r="A1" s="13" t="inlineStr">
        <is>
          <t xml:space="preserve">INCOME STATEMENT  (USD millions)</t>
        </is>
      </c>
      <c r="B1" s="13">
        <v>2024</v>
      </c>
      <c r="C1" s="13">
        <v>2025</v>
      </c>
      <c r="D1" s="13">
        <v>2026</v>
      </c>
      <c r="E1" s="13">
        <v>2027</v>
      </c>
      <c r="F1" s="13">
        <v>2028</v>
      </c>
    </row>
    <row r="2">
      <c r="A2" s="14" t="inlineStr">
        <is>
          <t xml:space="preserve">REVENUE</t>
        </is>
      </c>
      <c r="B2" s="14"/>
      <c r="C2" s="14"/>
      <c r="D2" s="14"/>
      <c r="E2" s="14"/>
      <c r="F2" s="14"/>
    </row>
    <row r="3">
      <c r="A3" s="0" t="inlineStr">
        <is>
          <t xml:space="preserve">Company Restaurant Sales</t>
        </is>
      </c>
      <c r="B3" s="2">
        <f>UnitEcon!B13</f>
        <v>405</v>
      </c>
      <c r="C3" s="2">
        <f>UnitEcon!C13</f>
        <v>377.2575</v>
      </c>
      <c r="D3" s="2">
        <f>UnitEcon!D13</f>
        <v>345.4002</v>
      </c>
      <c r="E3" s="2">
        <f>UnitEcon!E13</f>
        <v>324.532271</v>
      </c>
      <c r="F3" s="2">
        <f>UnitEcon!F13</f>
        <v>302.405071</v>
      </c>
    </row>
    <row r="4">
      <c r="A4" s="0" t="inlineStr">
        <is>
          <t xml:space="preserve">Franchise Royalties</t>
        </is>
      </c>
      <c r="B4" s="2">
        <f>UnitEcon!B14*Assumptions!B10</f>
        <v>1166.4</v>
      </c>
      <c r="C4" s="2">
        <f>UnitEcon!C14*Assumptions!C10</f>
        <v>1227.501591</v>
      </c>
      <c r="D4" s="2">
        <f>UnitEcon!D14*Assumptions!D10</f>
        <v>1285.496702</v>
      </c>
      <c r="E4" s="2">
        <f>UnitEcon!E14*Assumptions!E10</f>
        <v>1338.965237</v>
      </c>
      <c r="F4" s="2">
        <f>UnitEcon!F14*Assumptions!F10</f>
        <v>1394.611318</v>
      </c>
    </row>
    <row r="5">
      <c r="A5" s="0" t="inlineStr">
        <is>
          <t xml:space="preserve">Property Revenue</t>
        </is>
      </c>
      <c r="B5" s="2">
        <f>UnitEcon!B14*Assumptions!B11</f>
        <v>388.8</v>
      </c>
      <c r="C5" s="2">
        <f>UnitEcon!C14*Assumptions!C11</f>
        <v>409.167197</v>
      </c>
      <c r="D5" s="2">
        <f>UnitEcon!D14*Assumptions!D11</f>
        <v>428.498901</v>
      </c>
      <c r="E5" s="2">
        <f>UnitEcon!E14*Assumptions!E11</f>
        <v>446.321746</v>
      </c>
      <c r="F5" s="2">
        <f>UnitEcon!F14*Assumptions!F11</f>
        <v>464.870439</v>
      </c>
    </row>
    <row r="6">
      <c r="A6" s="0" t="inlineStr">
        <is>
          <t xml:space="preserve">Franchise Fees &amp; Other</t>
        </is>
      </c>
      <c r="B6" s="2">
        <f>UnitEcon!B14*Assumptions!B12</f>
        <v>38.88</v>
      </c>
      <c r="C6" s="2">
        <f>UnitEcon!C14*Assumptions!C12</f>
        <v>40.91672</v>
      </c>
      <c r="D6" s="2">
        <f>UnitEcon!D14*Assumptions!D12</f>
        <v>42.84989</v>
      </c>
      <c r="E6" s="2">
        <f>UnitEcon!E14*Assumptions!E12</f>
        <v>44.632175</v>
      </c>
      <c r="F6" s="2">
        <f>UnitEcon!F14*Assumptions!F12</f>
        <v>46.487044</v>
      </c>
    </row>
    <row r="7">
      <c r="A7" s="1" t="inlineStr">
        <is>
          <t xml:space="preserve">Total Revenue</t>
        </is>
      </c>
      <c r="B7" s="3">
        <f>SUM(B3:B6)</f>
        <v>1999.08</v>
      </c>
      <c r="C7" s="3">
        <f>SUM(C3:C6)</f>
        <v>2054.843007</v>
      </c>
      <c r="D7" s="3">
        <f>SUM(D3:D6)</f>
        <v>2102.245693</v>
      </c>
      <c r="E7" s="3">
        <f>SUM(E3:E6)</f>
        <v>2154.451429</v>
      </c>
      <c r="F7" s="3">
        <f>SUM(F3:F6)</f>
        <v>2208.373872</v>
      </c>
    </row>
    <row r="8">
      <c r="A8" s="14" t="inlineStr">
        <is>
          <t xml:space="preserve">OPERATING COSTS</t>
        </is>
      </c>
      <c r="B8" s="14"/>
      <c r="C8" s="14"/>
      <c r="D8" s="14"/>
      <c r="E8" s="14"/>
      <c r="F8" s="14"/>
    </row>
    <row r="9">
      <c r="A9" s="0" t="inlineStr">
        <is>
          <t xml:space="preserve">Cost of Company Restaurant Sales</t>
        </is>
      </c>
      <c r="B9" s="2">
        <f>B3*Assumptions!B13</f>
        <v>332.1</v>
      </c>
      <c r="C9" s="2">
        <f>C3*Assumptions!C13</f>
        <v>309.35115</v>
      </c>
      <c r="D9" s="2">
        <f>D3*Assumptions!D13</f>
        <v>283.228164</v>
      </c>
      <c r="E9" s="2">
        <f>E3*Assumptions!E13</f>
        <v>266.116462</v>
      </c>
      <c r="F9" s="2">
        <f>F3*Assumptions!F13</f>
        <v>247.972158</v>
      </c>
    </row>
    <row r="10">
      <c r="A10" s="0" t="inlineStr">
        <is>
          <t xml:space="preserve">Franchise &amp; Property Expenses</t>
        </is>
      </c>
      <c r="B10" s="2">
        <f>(B4+B5)*Assumptions!B14</f>
        <v>342.144</v>
      </c>
      <c r="C10" s="2">
        <f>(C4+C5)*Assumptions!C14</f>
        <v>360.067133</v>
      </c>
      <c r="D10" s="2">
        <f>(D4+D5)*Assumptions!D14</f>
        <v>377.079033</v>
      </c>
      <c r="E10" s="2">
        <f>(E4+E5)*Assumptions!E14</f>
        <v>392.763136</v>
      </c>
      <c r="F10" s="2">
        <f>(F4+F5)*Assumptions!F14</f>
        <v>409.085986</v>
      </c>
    </row>
    <row r="11">
      <c r="A11" s="0" t="inlineStr">
        <is>
          <t xml:space="preserve">General &amp; Administrative (G&amp;A)</t>
        </is>
      </c>
      <c r="B11" s="2">
        <f>B7*Assumptions!B15</f>
        <v>259.8804</v>
      </c>
      <c r="C11" s="2">
        <f>C7*Assumptions!C15</f>
        <v>267.129591</v>
      </c>
      <c r="D11" s="2">
        <f>D7*Assumptions!D15</f>
        <v>273.29194</v>
      </c>
      <c r="E11" s="2">
        <f>E7*Assumptions!E15</f>
        <v>280.078686</v>
      </c>
      <c r="F11" s="2">
        <f>F7*Assumptions!F15</f>
        <v>287.088603</v>
      </c>
    </row>
    <row r="12">
      <c r="A12" s="1" t="inlineStr">
        <is>
          <t xml:space="preserve">Total Operating Costs</t>
        </is>
      </c>
      <c r="B12" s="3">
        <f>SUM(B9:B11)</f>
        <v>934.1244</v>
      </c>
      <c r="C12" s="3">
        <f>SUM(C9:C11)</f>
        <v>936.547874</v>
      </c>
      <c r="D12" s="3">
        <f>SUM(D9:D11)</f>
        <v>933.599137</v>
      </c>
      <c r="E12" s="3">
        <f>SUM(E9:E11)</f>
        <v>938.958285</v>
      </c>
      <c r="F12" s="3">
        <f>SUM(F9:F11)</f>
        <v>944.146748</v>
      </c>
    </row>
    <row r="13">
      <c r="A13" s="1" t="inlineStr">
        <is>
          <t xml:space="preserve">Adjusted EBITDA</t>
        </is>
      </c>
      <c r="B13" s="3">
        <f>B7-B12</f>
        <v>1064.9556</v>
      </c>
      <c r="C13" s="3">
        <f>C7-C12</f>
        <v>1118.295133</v>
      </c>
      <c r="D13" s="3">
        <f>D7-D12</f>
        <v>1168.646556</v>
      </c>
      <c r="E13" s="3">
        <f>E7-E12</f>
        <v>1215.493145</v>
      </c>
      <c r="F13" s="3">
        <f>F7-F12</f>
        <v>1264.227124</v>
      </c>
    </row>
    <row r="14">
      <c r="A14" s="0" t="inlineStr">
        <is>
          <t xml:space="preserve">EBITDA Margin %</t>
        </is>
      </c>
      <c r="B14" s="4">
        <f>B13/B7</f>
        <v>0.532723</v>
      </c>
      <c r="C14" s="4">
        <f>C13/C7</f>
        <v>0.544224</v>
      </c>
      <c r="D14" s="4">
        <f>D13/D7</f>
        <v>0.555904</v>
      </c>
      <c r="E14" s="4">
        <f>E13/E7</f>
        <v>0.564178</v>
      </c>
      <c r="F14" s="4">
        <f>F13/F7</f>
        <v>0.57247</v>
      </c>
    </row>
    <row r="15">
      <c r="A15" s="0" t="inlineStr">
        <is>
          <t xml:space="preserve">Depreciation &amp; Amortization</t>
        </is>
      </c>
      <c r="B15" s="2">
        <f>B7*Assumptions!B17</f>
        <v>119.9448</v>
      </c>
      <c r="C15" s="2">
        <f>C7*Assumptions!C17</f>
        <v>123.29058</v>
      </c>
      <c r="D15" s="2">
        <f>D7*Assumptions!D17</f>
        <v>126.134742</v>
      </c>
      <c r="E15" s="2">
        <f>E7*Assumptions!E17</f>
        <v>129.267086</v>
      </c>
      <c r="F15" s="2">
        <f>F7*Assumptions!F17</f>
        <v>132.502432</v>
      </c>
    </row>
    <row r="16">
      <c r="A16" s="1" t="inlineStr">
        <is>
          <t xml:space="preserve">EBIT</t>
        </is>
      </c>
      <c r="B16" s="3">
        <f>B13-B15</f>
        <v>945.0108</v>
      </c>
      <c r="C16" s="3">
        <f>C13-C15</f>
        <v>995.004553</v>
      </c>
      <c r="D16" s="3">
        <f>D13-D15</f>
        <v>1042.511815</v>
      </c>
      <c r="E16" s="3">
        <f>E13-E15</f>
        <v>1086.226059</v>
      </c>
      <c r="F16" s="3">
        <f>F13-F15</f>
        <v>1131.724691</v>
      </c>
    </row>
    <row r="17">
      <c r="A17" s="0" t="inlineStr">
        <is>
          <t xml:space="preserve">Interest Expense</t>
        </is>
      </c>
      <c r="B17" s="2">
        <f>Assumptions!B19*(BS!B17+BS!B20)</f>
        <v>250</v>
      </c>
      <c r="C17" s="2">
        <f>Assumptions!C19*(BS!C17+BS!C20)</f>
        <v>240</v>
      </c>
      <c r="D17" s="2">
        <f>Assumptions!D19*(BS!D17+BS!D20)</f>
        <v>230</v>
      </c>
      <c r="E17" s="2">
        <f>Assumptions!E19*(BS!E17+BS!E20)</f>
        <v>220</v>
      </c>
      <c r="F17" s="2">
        <f>Assumptions!F19*(BS!F17+BS!F20)</f>
        <v>210</v>
      </c>
    </row>
    <row r="18">
      <c r="A18" s="0" t="inlineStr">
        <is>
          <t xml:space="preserve">Pre-Tax Income</t>
        </is>
      </c>
      <c r="B18" s="2">
        <f>B16-B17</f>
        <v>695.0108</v>
      </c>
      <c r="C18" s="2">
        <f>C16-C17</f>
        <v>755.004553</v>
      </c>
      <c r="D18" s="2">
        <f>D16-D17</f>
        <v>812.511815</v>
      </c>
      <c r="E18" s="2">
        <f>E16-E17</f>
        <v>866.226059</v>
      </c>
      <c r="F18" s="2">
        <f>F16-F17</f>
        <v>921.724691</v>
      </c>
    </row>
    <row r="19">
      <c r="A19" s="0" t="inlineStr">
        <is>
          <t xml:space="preserve">Taxes</t>
        </is>
      </c>
      <c r="B19" s="2">
        <f>B18*Assumptions!B18</f>
        <v>145.952268</v>
      </c>
      <c r="C19" s="2">
        <f>C18*Assumptions!C18</f>
        <v>158.550956</v>
      </c>
      <c r="D19" s="2">
        <f>D18*Assumptions!D18</f>
        <v>170.627481</v>
      </c>
      <c r="E19" s="2">
        <f>E18*Assumptions!E18</f>
        <v>181.907472</v>
      </c>
      <c r="F19" s="2">
        <f>F18*Assumptions!F18</f>
        <v>193.562185</v>
      </c>
    </row>
    <row r="20">
      <c r="A20" s="1" t="inlineStr">
        <is>
          <t xml:space="preserve">Net Income</t>
        </is>
      </c>
      <c r="B20" s="3">
        <f>B18-B19</f>
        <v>549.058532</v>
      </c>
      <c r="C20" s="3">
        <f>C18-C19</f>
        <v>596.453597</v>
      </c>
      <c r="D20" s="3">
        <f>D18-D19</f>
        <v>641.884334</v>
      </c>
      <c r="E20" s="3">
        <f>E18-E19</f>
        <v>684.318586</v>
      </c>
      <c r="F20" s="3">
        <f>F18-F19</f>
        <v>728.162506</v>
      </c>
    </row>
    <row r="21">
      <c r="A21" s="0" t="inlineStr">
        <is>
          <t xml:space="preserve">EPS ($)</t>
        </is>
      </c>
      <c r="B21" s="11">
        <f>B20/Assumptions!B23</f>
        <v>1.715808</v>
      </c>
      <c r="C21" s="11">
        <f>C20/Assumptions!C23</f>
        <v>1.863917</v>
      </c>
      <c r="D21" s="11">
        <f>D20/Assumptions!D23</f>
        <v>2.005889</v>
      </c>
      <c r="E21" s="11">
        <f>E20/Assumptions!E23</f>
        <v>2.138496</v>
      </c>
      <c r="F21" s="11">
        <f>F20/Assumptions!F23</f>
        <v>2.275508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4" customWidth="1"/>
    <col min="2" max="6" width="15" customWidth="1"/>
  </cols>
  <sheetData>
    <row r="1">
      <c r="A1" s="13" t="inlineStr">
        <is>
          <t xml:space="preserve">BALANCE SHEET  (USD millions)</t>
        </is>
      </c>
      <c r="B1" s="13">
        <v>2024</v>
      </c>
      <c r="C1" s="13">
        <v>2025</v>
      </c>
      <c r="D1" s="13">
        <v>2026</v>
      </c>
      <c r="E1" s="13">
        <v>2027</v>
      </c>
      <c r="F1" s="13">
        <v>2028</v>
      </c>
    </row>
    <row r="2">
      <c r="A2" s="14" t="inlineStr">
        <is>
          <t xml:space="preserve">ASSETS</t>
        </is>
      </c>
      <c r="B2" s="14"/>
      <c r="C2" s="14"/>
      <c r="D2" s="14"/>
      <c r="E2" s="14"/>
      <c r="F2" s="14"/>
    </row>
    <row r="3">
      <c r="A3" s="0" t="inlineStr">
        <is>
          <t xml:space="preserve">Cash</t>
        </is>
      </c>
      <c r="B3" s="2">
        <f>CF!B13</f>
        <v>1000</v>
      </c>
      <c r="C3" s="2">
        <f>CF!C13</f>
        <v>1159.006868</v>
      </c>
      <c r="D3" s="2">
        <f>CF!D13</f>
        <v>1342.174157</v>
      </c>
      <c r="E3" s="2">
        <f>CF!E13</f>
        <v>1547.975645</v>
      </c>
      <c r="F3" s="2">
        <f>CF!F13</f>
        <v>1777.177999</v>
      </c>
    </row>
    <row r="4">
      <c r="A4" s="0" t="inlineStr">
        <is>
          <t xml:space="preserve">Accounts Receivable</t>
        </is>
      </c>
      <c r="B4" s="2">
        <v>139.9356</v>
      </c>
      <c r="C4" s="2">
        <f>B4*IS!C7/IS!B7</f>
        <v>143.839011</v>
      </c>
      <c r="D4" s="2">
        <f>C4*IS!D7/IS!C7</f>
        <v>147.157199</v>
      </c>
      <c r="E4" s="2">
        <f>D4*IS!E7/IS!D7</f>
        <v>150.8116</v>
      </c>
      <c r="F4" s="2">
        <f>E4*IS!F7/IS!E7</f>
        <v>154.586171</v>
      </c>
    </row>
    <row r="5">
      <c r="A5" s="0" t="inlineStr">
        <is>
          <t xml:space="preserve">Inventory</t>
        </is>
      </c>
      <c r="B5" s="2">
        <v>19.9908</v>
      </c>
      <c r="C5" s="2">
        <f>B5*IS!C7/IS!B7</f>
        <v>20.54843</v>
      </c>
      <c r="D5" s="2">
        <f>C5*IS!D7/IS!C7</f>
        <v>21.022457</v>
      </c>
      <c r="E5" s="2">
        <f>D5*IS!E7/IS!D7</f>
        <v>21.544514</v>
      </c>
      <c r="F5" s="2">
        <f>E5*IS!F7/IS!E7</f>
        <v>22.083739</v>
      </c>
    </row>
    <row r="6">
      <c r="A6" s="0" t="inlineStr">
        <is>
          <t xml:space="preserve">Prepaid Expenses</t>
        </is>
      </c>
      <c r="B6" s="2">
        <v>39.9816</v>
      </c>
      <c r="C6" s="2">
        <f>B6*IS!C7/IS!B7</f>
        <v>41.09686</v>
      </c>
      <c r="D6" s="2">
        <f>C6*IS!D7/IS!C7</f>
        <v>42.044914</v>
      </c>
      <c r="E6" s="2">
        <f>D6*IS!E7/IS!D7</f>
        <v>43.089029</v>
      </c>
      <c r="F6" s="2">
        <f>E6*IS!F7/IS!E7</f>
        <v>44.167477</v>
      </c>
    </row>
    <row r="7">
      <c r="A7" s="1" t="inlineStr">
        <is>
          <t xml:space="preserve">Total Current Assets</t>
        </is>
      </c>
      <c r="B7" s="3">
        <f>SUM(B3:B6)</f>
        <v>1199.908</v>
      </c>
      <c r="C7" s="3">
        <f>SUM(C3:C6)</f>
        <v>1364.491169</v>
      </c>
      <c r="D7" s="3">
        <f>SUM(D3:D6)</f>
        <v>1552.398726</v>
      </c>
      <c r="E7" s="3">
        <f>SUM(E3:E6)</f>
        <v>1763.420788</v>
      </c>
      <c r="F7" s="3">
        <f>SUM(F3:F6)</f>
        <v>1998.015386</v>
      </c>
    </row>
    <row r="8">
      <c r="A8" s="0" t="inlineStr">
        <is>
          <t xml:space="preserve">PP&amp;E</t>
        </is>
      </c>
      <c r="B8" s="2">
        <v>1500</v>
      </c>
      <c r="C8" s="2">
        <f>B8+Assumptions!C20*UnitEcon!C3/1000000-IS!C15</f>
        <v>1499.42292</v>
      </c>
      <c r="D8" s="2">
        <f>C8+Assumptions!D20*UnitEcon!D3/1000000-IS!D15</f>
        <v>1501.860258</v>
      </c>
      <c r="E8" s="2">
        <f>D8+Assumptions!E20*UnitEcon!E3/1000000-IS!E15</f>
        <v>1507.171979</v>
      </c>
      <c r="F8" s="2">
        <f>E8+Assumptions!F20*UnitEcon!F3/1000000-IS!F15</f>
        <v>1515.406354</v>
      </c>
    </row>
    <row r="9">
      <c r="A9" s="0" t="inlineStr">
        <is>
          <t xml:space="preserve">Right-of-Use Assets</t>
        </is>
      </c>
      <c r="B9" s="2">
        <v>1400</v>
      </c>
      <c r="C9" s="2">
        <f>B9</f>
        <v>1400</v>
      </c>
      <c r="D9" s="2">
        <f>C9</f>
        <v>1400</v>
      </c>
      <c r="E9" s="2">
        <f>D9</f>
        <v>1400</v>
      </c>
      <c r="F9" s="2">
        <f>E9</f>
        <v>1400</v>
      </c>
    </row>
    <row r="10">
      <c r="A10" s="0" t="inlineStr">
        <is>
          <t xml:space="preserve">Intangibles</t>
        </is>
      </c>
      <c r="B10" s="2">
        <v>1200</v>
      </c>
      <c r="C10" s="2">
        <f>B10</f>
        <v>1200</v>
      </c>
      <c r="D10" s="2">
        <f>C10</f>
        <v>1200</v>
      </c>
      <c r="E10" s="2">
        <f>D10</f>
        <v>1200</v>
      </c>
      <c r="F10" s="2">
        <f>E10</f>
        <v>1200</v>
      </c>
    </row>
    <row r="11">
      <c r="A11" s="0" t="inlineStr">
        <is>
          <t xml:space="preserve">Goodwill</t>
        </is>
      </c>
      <c r="B11" s="2">
        <v>5500</v>
      </c>
      <c r="C11" s="2">
        <f>B11</f>
        <v>5500</v>
      </c>
      <c r="D11" s="2">
        <f>C11</f>
        <v>5500</v>
      </c>
      <c r="E11" s="2">
        <f>D11</f>
        <v>5500</v>
      </c>
      <c r="F11" s="2">
        <f>E11</f>
        <v>5500</v>
      </c>
    </row>
    <row r="12">
      <c r="A12" s="1" t="inlineStr">
        <is>
          <t xml:space="preserve">Total Non-Current Assets</t>
        </is>
      </c>
      <c r="B12" s="3">
        <f>SUM(B8:B11)</f>
        <v>9600</v>
      </c>
      <c r="C12" s="3">
        <f>SUM(C8:C11)</f>
        <v>9599.42292</v>
      </c>
      <c r="D12" s="3">
        <f>SUM(D8:D11)</f>
        <v>9601.860258</v>
      </c>
      <c r="E12" s="3">
        <f>SUM(E8:E11)</f>
        <v>9607.171979</v>
      </c>
      <c r="F12" s="3">
        <f>SUM(F8:F11)</f>
        <v>9615.406354</v>
      </c>
    </row>
    <row r="13">
      <c r="A13" s="1" t="inlineStr">
        <is>
          <t xml:space="preserve">TOTAL ASSETS</t>
        </is>
      </c>
      <c r="B13" s="3">
        <f>B7+B12</f>
        <v>10799.908</v>
      </c>
      <c r="C13" s="3">
        <f>C7+C12</f>
        <v>10963.914089</v>
      </c>
      <c r="D13" s="3">
        <f>D7+D12</f>
        <v>11154.258984</v>
      </c>
      <c r="E13" s="3">
        <f>E7+E12</f>
        <v>11370.592767</v>
      </c>
      <c r="F13" s="3">
        <f>F7+F12</f>
        <v>11613.42174</v>
      </c>
    </row>
    <row r="14">
      <c r="A14" s="14" t="inlineStr">
        <is>
          <t xml:space="preserve">LIABILITIES</t>
        </is>
      </c>
      <c r="B14" s="14"/>
      <c r="C14" s="14"/>
      <c r="D14" s="14"/>
      <c r="E14" s="14"/>
      <c r="F14" s="14"/>
    </row>
    <row r="15">
      <c r="A15" s="0" t="inlineStr">
        <is>
          <t xml:space="preserve">Accounts Payable</t>
        </is>
      </c>
      <c r="B15" s="2">
        <v>99.954</v>
      </c>
      <c r="C15" s="2">
        <f>B15*IS!C7/IS!B7</f>
        <v>102.74215</v>
      </c>
      <c r="D15" s="2">
        <f>C15*IS!D7/IS!C7</f>
        <v>105.112285</v>
      </c>
      <c r="E15" s="2">
        <f>D15*IS!E7/IS!D7</f>
        <v>107.722571</v>
      </c>
      <c r="F15" s="2">
        <f>E15*IS!F7/IS!E7</f>
        <v>110.418694</v>
      </c>
    </row>
    <row r="16">
      <c r="A16" s="0" t="inlineStr">
        <is>
          <t xml:space="preserve">Accrued Expenses</t>
        </is>
      </c>
      <c r="B16" s="2">
        <v>119.9448</v>
      </c>
      <c r="C16" s="2">
        <f>B16*IS!C7/IS!B7</f>
        <v>123.29058</v>
      </c>
      <c r="D16" s="2">
        <f>C16*IS!D7/IS!C7</f>
        <v>126.134742</v>
      </c>
      <c r="E16" s="2">
        <f>D16*IS!E7/IS!D7</f>
        <v>129.267086</v>
      </c>
      <c r="F16" s="2">
        <f>E16*IS!F7/IS!E7</f>
        <v>132.502432</v>
      </c>
    </row>
    <row r="17">
      <c r="A17" s="0" t="inlineStr">
        <is>
          <t xml:space="preserve">Short-term Debt</t>
        </is>
      </c>
      <c r="B17" s="2">
        <v>300</v>
      </c>
      <c r="C17" s="2">
        <f>B17</f>
        <v>300</v>
      </c>
      <c r="D17" s="2">
        <f>C17</f>
        <v>300</v>
      </c>
      <c r="E17" s="2">
        <f>D17</f>
        <v>300</v>
      </c>
      <c r="F17" s="2">
        <f>E17</f>
        <v>300</v>
      </c>
    </row>
    <row r="18">
      <c r="A18" s="0" t="inlineStr">
        <is>
          <t xml:space="preserve">Current Lease Liability</t>
        </is>
      </c>
      <c r="B18" s="2">
        <v>160</v>
      </c>
      <c r="C18" s="2">
        <f>B18</f>
        <v>160</v>
      </c>
      <c r="D18" s="2">
        <f>C18</f>
        <v>160</v>
      </c>
      <c r="E18" s="2">
        <f>D18</f>
        <v>160</v>
      </c>
      <c r="F18" s="2">
        <f>E18</f>
        <v>160</v>
      </c>
    </row>
    <row r="19">
      <c r="A19" s="1" t="inlineStr">
        <is>
          <t xml:space="preserve">Total Current Liabilities</t>
        </is>
      </c>
      <c r="B19" s="3">
        <f>SUM(B15:B18)</f>
        <v>679.8988</v>
      </c>
      <c r="C19" s="3">
        <f>SUM(C15:C18)</f>
        <v>686.032731</v>
      </c>
      <c r="D19" s="3">
        <f>SUM(D15:D18)</f>
        <v>691.247026</v>
      </c>
      <c r="E19" s="3">
        <f>SUM(E15:E18)</f>
        <v>696.989657</v>
      </c>
      <c r="F19" s="3">
        <f>SUM(F15:F18)</f>
        <v>702.921126</v>
      </c>
    </row>
    <row r="20">
      <c r="A20" s="0" t="inlineStr">
        <is>
          <t xml:space="preserve">Long-term Debt</t>
        </is>
      </c>
      <c r="B20" s="2">
        <v>4700</v>
      </c>
      <c r="C20" s="2">
        <f>B20-Assumptions!C21</f>
        <v>4500</v>
      </c>
      <c r="D20" s="2">
        <f>C20-Assumptions!D21</f>
        <v>4300</v>
      </c>
      <c r="E20" s="2">
        <f>D20-Assumptions!E21</f>
        <v>4100</v>
      </c>
      <c r="F20" s="2">
        <f>E20-Assumptions!F21</f>
        <v>3900</v>
      </c>
    </row>
    <row r="21">
      <c r="A21" s="0" t="inlineStr">
        <is>
          <t xml:space="preserve">Lease Liabilities</t>
        </is>
      </c>
      <c r="B21" s="2">
        <v>1300</v>
      </c>
      <c r="C21" s="2">
        <f>B21</f>
        <v>1300</v>
      </c>
      <c r="D21" s="2">
        <f>C21</f>
        <v>1300</v>
      </c>
      <c r="E21" s="2">
        <f>D21</f>
        <v>1300</v>
      </c>
      <c r="F21" s="2">
        <f>E21</f>
        <v>1300</v>
      </c>
    </row>
    <row r="22">
      <c r="A22" s="0" t="inlineStr">
        <is>
          <t xml:space="preserve">Deferred Tax</t>
        </is>
      </c>
      <c r="B22" s="2">
        <v>350</v>
      </c>
      <c r="C22" s="2">
        <f>B22</f>
        <v>350</v>
      </c>
      <c r="D22" s="2">
        <f>C22</f>
        <v>350</v>
      </c>
      <c r="E22" s="2">
        <f>D22</f>
        <v>350</v>
      </c>
      <c r="F22" s="2">
        <f>E22</f>
        <v>350</v>
      </c>
    </row>
    <row r="23">
      <c r="A23" s="1" t="inlineStr">
        <is>
          <t xml:space="preserve">Total Non-Current Liabilities</t>
        </is>
      </c>
      <c r="B23" s="3">
        <f>SUM(B20:B22)</f>
        <v>6350</v>
      </c>
      <c r="C23" s="3">
        <f>SUM(C20:C22)</f>
        <v>6150</v>
      </c>
      <c r="D23" s="3">
        <f>SUM(D20:D22)</f>
        <v>5950</v>
      </c>
      <c r="E23" s="3">
        <f>SUM(E20:E22)</f>
        <v>5750</v>
      </c>
      <c r="F23" s="3">
        <f>SUM(F20:F22)</f>
        <v>5550</v>
      </c>
    </row>
    <row r="24">
      <c r="A24" s="1" t="inlineStr">
        <is>
          <t xml:space="preserve">TOTAL LIABILITIES</t>
        </is>
      </c>
      <c r="B24" s="3">
        <f>B19+B23</f>
        <v>7029.8988</v>
      </c>
      <c r="C24" s="3">
        <f>C19+C23</f>
        <v>6836.032731</v>
      </c>
      <c r="D24" s="3">
        <f>D19+D23</f>
        <v>6641.247026</v>
      </c>
      <c r="E24" s="3">
        <f>E19+E23</f>
        <v>6446.989657</v>
      </c>
      <c r="F24" s="3">
        <f>F19+F23</f>
        <v>6252.921126</v>
      </c>
    </row>
    <row r="25">
      <c r="A25" s="14" t="inlineStr">
        <is>
          <t xml:space="preserve">EQUITY</t>
        </is>
      </c>
      <c r="B25" s="14"/>
      <c r="C25" s="14"/>
      <c r="D25" s="14"/>
      <c r="E25" s="14"/>
      <c r="F25" s="14"/>
    </row>
    <row r="26">
      <c r="A26" s="0" t="inlineStr">
        <is>
          <t xml:space="preserve">Share Capital</t>
        </is>
      </c>
      <c r="B26" s="2">
        <v>100</v>
      </c>
      <c r="C26" s="2">
        <f>B26</f>
        <v>100</v>
      </c>
      <c r="D26" s="2">
        <f>C26</f>
        <v>100</v>
      </c>
      <c r="E26" s="2">
        <f>D26</f>
        <v>100</v>
      </c>
      <c r="F26" s="2">
        <f>E26</f>
        <v>100</v>
      </c>
    </row>
    <row r="27">
      <c r="A27" s="0" t="inlineStr">
        <is>
          <t xml:space="preserve">Retained Earnings</t>
        </is>
      </c>
      <c r="B27" s="2">
        <v>2270.0092</v>
      </c>
      <c r="C27" s="2">
        <f>B27+IS!C20+CF!C9</f>
        <v>2627.881358</v>
      </c>
      <c r="D27" s="2">
        <f>C27+IS!D20+CF!D9</f>
        <v>3013.011958</v>
      </c>
      <c r="E27" s="2">
        <f>D27+IS!E20+CF!E9</f>
        <v>3423.60311</v>
      </c>
      <c r="F27" s="2">
        <f>E27+IS!F20+CF!F9</f>
        <v>3860.500614</v>
      </c>
    </row>
    <row r="28">
      <c r="A28" s="0" t="inlineStr">
        <is>
          <t xml:space="preserve">Additional Paid-In Capital</t>
        </is>
      </c>
      <c r="B28" s="2">
        <v>2000</v>
      </c>
      <c r="C28" s="2">
        <f>B28</f>
        <v>2000</v>
      </c>
      <c r="D28" s="2">
        <f>C28</f>
        <v>2000</v>
      </c>
      <c r="E28" s="2">
        <f>D28</f>
        <v>2000</v>
      </c>
      <c r="F28" s="2">
        <f>E28</f>
        <v>2000</v>
      </c>
    </row>
    <row r="29">
      <c r="A29" s="0" t="inlineStr">
        <is>
          <t xml:space="preserve">Treasury Stock</t>
        </is>
      </c>
      <c r="B29" s="2">
        <v>-600</v>
      </c>
      <c r="C29" s="2">
        <f>B29</f>
        <v>-600</v>
      </c>
      <c r="D29" s="2">
        <f>C29</f>
        <v>-600</v>
      </c>
      <c r="E29" s="2">
        <f>D29</f>
        <v>-600</v>
      </c>
      <c r="F29" s="2">
        <f>E29</f>
        <v>-600</v>
      </c>
    </row>
    <row r="30">
      <c r="A30" s="1" t="inlineStr">
        <is>
          <t xml:space="preserve">TOTAL EQUITY</t>
        </is>
      </c>
      <c r="B30" s="3">
        <f>B26+B27+B28+B29</f>
        <v>3770.0092</v>
      </c>
      <c r="C30" s="3">
        <f>C26+C27+C28+C29</f>
        <v>4127.881358</v>
      </c>
      <c r="D30" s="3">
        <f>D26+D27+D28+D29</f>
        <v>4513.011958</v>
      </c>
      <c r="E30" s="3">
        <f>E26+E27+E28+E29</f>
        <v>4923.60311</v>
      </c>
      <c r="F30" s="3">
        <f>F26+F27+F28+F29</f>
        <v>5360.500614</v>
      </c>
    </row>
    <row r="31">
      <c r="A31" s="1" t="inlineStr">
        <is>
          <t xml:space="preserve">TOTAL LIABILITIES + EQUITY</t>
        </is>
      </c>
      <c r="B31" s="3">
        <f>B24+B30</f>
        <v>10799.908</v>
      </c>
      <c r="C31" s="3">
        <f>C24+C30</f>
        <v>10963.914089</v>
      </c>
      <c r="D31" s="3">
        <f>D24+D30</f>
        <v>11154.258984</v>
      </c>
      <c r="E31" s="3">
        <f>E24+E30</f>
        <v>11370.592767</v>
      </c>
      <c r="F31" s="3">
        <f>F24+F30</f>
        <v>11613.42174</v>
      </c>
    </row>
    <row r="32">
      <c r="A32" s="1" t="inlineStr">
        <is>
          <t xml:space="preserve">Balance Check (must = 0)</t>
        </is>
      </c>
      <c r="B32" s="3">
        <f>B13-B31</f>
        <v>0</v>
      </c>
      <c r="C32" s="3">
        <f>C13-C31</f>
        <v>0</v>
      </c>
      <c r="D32" s="3">
        <f>D13-D31</f>
        <v>0</v>
      </c>
      <c r="E32" s="3">
        <f>E13-E31</f>
        <v>0</v>
      </c>
      <c r="F32" s="3">
        <f>F13-F31</f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4" customWidth="1"/>
    <col min="2" max="6" width="15" customWidth="1"/>
  </cols>
  <sheetData>
    <row r="1">
      <c r="A1" s="13" t="inlineStr">
        <is>
          <t xml:space="preserve">CASH FLOW STATEMENT  (USD millions)</t>
        </is>
      </c>
      <c r="B1" s="13">
        <v>2024</v>
      </c>
      <c r="C1" s="13">
        <v>2025</v>
      </c>
      <c r="D1" s="13">
        <v>2026</v>
      </c>
      <c r="E1" s="13">
        <v>2027</v>
      </c>
      <c r="F1" s="13">
        <v>2028</v>
      </c>
    </row>
    <row r="2">
      <c r="A2" s="0" t="inlineStr">
        <is>
          <t xml:space="preserve">Net Income</t>
        </is>
      </c>
      <c r="B2" s="2">
        <f>IS!B20</f>
        <v>549.058532</v>
      </c>
      <c r="C2" s="2">
        <f>IS!C20</f>
        <v>596.453597</v>
      </c>
      <c r="D2" s="2">
        <f>IS!D20</f>
        <v>641.884334</v>
      </c>
      <c r="E2" s="2">
        <f>IS!E20</f>
        <v>684.318586</v>
      </c>
      <c r="F2" s="2">
        <f>IS!F20</f>
        <v>728.162506</v>
      </c>
    </row>
    <row r="3">
      <c r="A3" s="0" t="inlineStr">
        <is>
          <t xml:space="preserve">Depreciation &amp; Amortization</t>
        </is>
      </c>
      <c r="B3" s="2">
        <f>IS!B15</f>
        <v>119.9448</v>
      </c>
      <c r="C3" s="2">
        <f>IS!C15</f>
        <v>123.29058</v>
      </c>
      <c r="D3" s="2">
        <f>IS!D15</f>
        <v>126.134742</v>
      </c>
      <c r="E3" s="2">
        <f>IS!E15</f>
        <v>129.267086</v>
      </c>
      <c r="F3" s="2">
        <f>IS!F15</f>
        <v>132.502432</v>
      </c>
    </row>
    <row r="4">
      <c r="A4" s="0" t="inlineStr">
        <is>
          <t xml:space="preserve">Change in Working Capital</t>
        </is>
      </c>
      <c r="B4" s="2">
        <v>0.951943</v>
      </c>
      <c r="C4" s="2">
        <f>-((BS!C4-BS!B4)+(BS!C5-BS!B5)+(BS!C6-BS!B6))+((BS!C15-BS!B15)+(BS!C16-BS!B16))</f>
        <v>0.55763</v>
      </c>
      <c r="D4" s="2">
        <f>-((BS!D4-BS!C4)+(BS!D5-BS!C5)+(BS!D6-BS!C6))+((BS!D15-BS!C15)+(BS!D16-BS!C16))</f>
        <v>0.474027</v>
      </c>
      <c r="E4" s="2">
        <f>-((BS!E4-BS!D4)+(BS!E5-BS!D5)+(BS!E6-BS!D6))+((BS!E15-BS!D15)+(BS!E16-BS!D16))</f>
        <v>0.522057</v>
      </c>
      <c r="F4" s="2">
        <f>-((BS!F4-BS!E4)+(BS!F5-BS!E5)+(BS!F6-BS!E6))+((BS!F15-BS!E15)+(BS!F16-BS!E16))</f>
        <v>0.539224</v>
      </c>
    </row>
    <row r="5">
      <c r="A5" s="1" t="inlineStr">
        <is>
          <t xml:space="preserve">Operating Cash Flow</t>
        </is>
      </c>
      <c r="B5" s="3">
        <f>B2+B3+B4</f>
        <v>669.955275</v>
      </c>
      <c r="C5" s="3">
        <f>C2+C3+C4</f>
        <v>720.301807</v>
      </c>
      <c r="D5" s="3">
        <f>D2+D3+D4</f>
        <v>768.493102</v>
      </c>
      <c r="E5" s="3">
        <f>E2+E3+E4</f>
        <v>814.10773</v>
      </c>
      <c r="F5" s="3">
        <f>F2+F3+F4</f>
        <v>861.204163</v>
      </c>
    </row>
    <row r="6">
      <c r="A6" s="0" t="inlineStr">
        <is>
          <t xml:space="preserve">CapEx</t>
        </is>
      </c>
      <c r="B6" s="2">
        <f>-Assumptions!B20*UnitEcon!B3/1000000</f>
        <v>-117</v>
      </c>
      <c r="C6" s="2">
        <f>-Assumptions!C20*UnitEcon!C3/1000000</f>
        <v>-122.7135</v>
      </c>
      <c r="D6" s="2">
        <f>-Assumptions!D20*UnitEcon!D3/1000000</f>
        <v>-128.57208</v>
      </c>
      <c r="E6" s="2">
        <f>-Assumptions!E20*UnitEcon!E3/1000000</f>
        <v>-134.578807</v>
      </c>
      <c r="F6" s="2">
        <f>-Assumptions!F20*UnitEcon!F3/1000000</f>
        <v>-140.736807</v>
      </c>
    </row>
    <row r="7">
      <c r="A7" s="1" t="inlineStr">
        <is>
          <t xml:space="preserve">Investing Cash Flow</t>
        </is>
      </c>
      <c r="B7" s="3">
        <f>B6</f>
        <v>-117</v>
      </c>
      <c r="C7" s="3">
        <f>C6</f>
        <v>-122.7135</v>
      </c>
      <c r="D7" s="3">
        <f>D6</f>
        <v>-128.57208</v>
      </c>
      <c r="E7" s="3">
        <f>E6</f>
        <v>-134.578807</v>
      </c>
      <c r="F7" s="3">
        <f>F6</f>
        <v>-140.736807</v>
      </c>
    </row>
    <row r="8">
      <c r="A8" s="0" t="inlineStr">
        <is>
          <t xml:space="preserve">Debt Issued/(Repaid)</t>
        </is>
      </c>
      <c r="B8" s="2">
        <v>-200</v>
      </c>
      <c r="C8" s="2">
        <f>BS!C20-BS!B20</f>
        <v>-200</v>
      </c>
      <c r="D8" s="2">
        <f>BS!D20-BS!C20</f>
        <v>-200</v>
      </c>
      <c r="E8" s="2">
        <f>BS!E20-BS!D20</f>
        <v>-200</v>
      </c>
      <c r="F8" s="2">
        <f>BS!F20-BS!E20</f>
        <v>-200</v>
      </c>
    </row>
    <row r="9">
      <c r="A9" s="0" t="inlineStr">
        <is>
          <t xml:space="preserve">Dividends</t>
        </is>
      </c>
      <c r="B9" s="2">
        <f>-Assumptions!B22*IS!B20</f>
        <v>-219.623413</v>
      </c>
      <c r="C9" s="2">
        <f>-Assumptions!C22*IS!C20</f>
        <v>-238.581439</v>
      </c>
      <c r="D9" s="2">
        <f>-Assumptions!D22*IS!D20</f>
        <v>-256.753733</v>
      </c>
      <c r="E9" s="2">
        <f>-Assumptions!E22*IS!E20</f>
        <v>-273.727435</v>
      </c>
      <c r="F9" s="2">
        <f>-Assumptions!F22*IS!F20</f>
        <v>-291.265002</v>
      </c>
    </row>
    <row r="10">
      <c r="A10" s="1" t="inlineStr">
        <is>
          <t xml:space="preserve">Financing Cash Flow</t>
        </is>
      </c>
      <c r="B10" s="3">
        <f>B8+B9</f>
        <v>-419.623413</v>
      </c>
      <c r="C10" s="3">
        <f>C8+C9</f>
        <v>-438.581439</v>
      </c>
      <c r="D10" s="3">
        <f>D8+D9</f>
        <v>-456.753733</v>
      </c>
      <c r="E10" s="3">
        <f>E8+E9</f>
        <v>-473.727435</v>
      </c>
      <c r="F10" s="3">
        <f>F8+F9</f>
        <v>-491.265002</v>
      </c>
    </row>
    <row r="11">
      <c r="A11" s="1" t="inlineStr">
        <is>
          <t xml:space="preserve">Net Change in Cash</t>
        </is>
      </c>
      <c r="B11" s="3">
        <f>B5+B7+B10</f>
        <v>133.331862</v>
      </c>
      <c r="C11" s="3">
        <f>C5+C7+C10</f>
        <v>159.006868</v>
      </c>
      <c r="D11" s="3">
        <f>D5+D7+D10</f>
        <v>183.167289</v>
      </c>
      <c r="E11" s="3">
        <f>E5+E7+E10</f>
        <v>205.801488</v>
      </c>
      <c r="F11" s="3">
        <f>F5+F7+F10</f>
        <v>229.202354</v>
      </c>
    </row>
    <row r="12">
      <c r="A12" s="0" t="inlineStr">
        <is>
          <t xml:space="preserve">Opening Cash</t>
        </is>
      </c>
      <c r="B12" s="2">
        <v>866.668138</v>
      </c>
      <c r="C12" s="2">
        <f>B13</f>
        <v>1000</v>
      </c>
      <c r="D12" s="2">
        <f>C13</f>
        <v>1159.006868</v>
      </c>
      <c r="E12" s="2">
        <f>D13</f>
        <v>1342.174157</v>
      </c>
      <c r="F12" s="2">
        <f>E13</f>
        <v>1547.975645</v>
      </c>
    </row>
    <row r="13">
      <c r="A13" s="1" t="inlineStr">
        <is>
          <t xml:space="preserve">Closing Cash</t>
        </is>
      </c>
      <c r="B13" s="3">
        <f>B12+B11</f>
        <v>1000</v>
      </c>
      <c r="C13" s="3">
        <f>C12+C11</f>
        <v>1159.006868</v>
      </c>
      <c r="D13" s="3">
        <f>D12+D11</f>
        <v>1342.174157</v>
      </c>
      <c r="E13" s="3">
        <f>E12+E11</f>
        <v>1547.975645</v>
      </c>
      <c r="F13" s="3">
        <f>F12+F11</f>
        <v>1777.177999</v>
      </c>
    </row>
    <row r="14">
      <c r="A14" s="0" t="inlineStr">
        <is>
          <t xml:space="preserve">Interest Paid (memo; in Net Income)</t>
        </is>
      </c>
      <c r="B14" s="2">
        <f>-IS!B17</f>
        <v>-250</v>
      </c>
      <c r="C14" s="2">
        <f>-IS!C17</f>
        <v>-240</v>
      </c>
      <c r="D14" s="2">
        <f>-IS!D17</f>
        <v>-230</v>
      </c>
      <c r="E14" s="2">
        <f>-IS!E17</f>
        <v>-220</v>
      </c>
      <c r="F14" s="2">
        <f>-IS!F17</f>
        <v>-210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1" ySplit="1" topLeftCell="B2" activePane="bottomRight" state="frozen"/>
    </sheetView>
  </sheetViews>
  <sheetFormatPr defaultRowHeight="15"/>
  <cols>
    <col min="1" max="1" width="34" customWidth="1"/>
    <col min="2" max="6" width="15" customWidth="1"/>
  </cols>
  <sheetData>
    <row r="1">
      <c r="A1" s="13" t="inlineStr">
        <is>
          <t xml:space="preserve">KEY QSR &amp; FINANCIAL KPIs</t>
        </is>
      </c>
      <c r="B1" s="13">
        <v>2024</v>
      </c>
      <c r="C1" s="13">
        <v>2025</v>
      </c>
      <c r="D1" s="13">
        <v>2026</v>
      </c>
      <c r="E1" s="13">
        <v>2027</v>
      </c>
      <c r="F1" s="13">
        <v>2028</v>
      </c>
    </row>
    <row r="2">
      <c r="A2" s="14" t="inlineStr">
        <is>
          <t xml:space="preserve">GROWTH &amp; UNITS</t>
        </is>
      </c>
      <c r="B2" s="14"/>
      <c r="C2" s="14"/>
      <c r="D2" s="14"/>
      <c r="E2" s="14"/>
      <c r="F2" s="14"/>
    </row>
    <row r="3">
      <c r="A3" s="0" t="inlineStr">
        <is>
          <t xml:space="preserve">System-Wide Sales ($M)</t>
        </is>
      </c>
      <c r="B3" s="2">
        <f>UnitEcon!B12</f>
        <v>26325</v>
      </c>
      <c r="C3" s="2">
        <f>UnitEcon!C12</f>
        <v>27655.070625</v>
      </c>
      <c r="D3" s="2">
        <f>UnitEcon!D12</f>
        <v>28911.993585</v>
      </c>
      <c r="E3" s="2">
        <f>UnitEcon!E12</f>
        <v>30079.315326</v>
      </c>
      <c r="F3" s="2">
        <f>UnitEcon!F12</f>
        <v>31293.767682</v>
      </c>
    </row>
    <row r="4">
      <c r="A4" s="0" t="inlineStr">
        <is>
          <t xml:space="preserve">System Sales Growth %</t>
        </is>
      </c>
      <c r="C4" s="4">
        <f>UnitEcon!C15</f>
        <v>0.050525</v>
      </c>
      <c r="D4" s="4">
        <f>UnitEcon!D15</f>
        <v>0.04545</v>
      </c>
      <c r="E4" s="4">
        <f>UnitEcon!E15</f>
        <v>0.040375</v>
      </c>
      <c r="F4" s="4">
        <f>UnitEcon!F15</f>
        <v>0.040375</v>
      </c>
    </row>
    <row r="5">
      <c r="A5" s="0" t="inlineStr">
        <is>
          <t xml:space="preserve">Total Units</t>
        </is>
      </c>
      <c r="B5" s="6">
        <f>UnitEcon!B3</f>
        <v>19500</v>
      </c>
      <c r="C5" s="6">
        <f>UnitEcon!C3</f>
        <v>19792.5</v>
      </c>
      <c r="D5" s="6">
        <f>UnitEcon!D3</f>
        <v>20089.3875</v>
      </c>
      <c r="E5" s="6">
        <f>UnitEcon!E3</f>
        <v>20390.728312</v>
      </c>
      <c r="F5" s="6">
        <f>UnitEcon!F3</f>
        <v>20696.589237</v>
      </c>
    </row>
    <row r="6">
      <c r="A6" s="0" t="inlineStr">
        <is>
          <t xml:space="preserve">Net New Units</t>
        </is>
      </c>
      <c r="B6" s="6">
        <f>UnitEcon!B4</f>
        <v>288</v>
      </c>
      <c r="C6" s="6">
        <f>UnitEcon!C4</f>
        <v>292.5</v>
      </c>
      <c r="D6" s="6">
        <f>UnitEcon!D4</f>
        <v>296.8875</v>
      </c>
      <c r="E6" s="6">
        <f>UnitEcon!E4</f>
        <v>301.340812</v>
      </c>
      <c r="F6" s="6">
        <f>UnitEcon!F4</f>
        <v>305.860925</v>
      </c>
    </row>
    <row r="7">
      <c r="A7" s="0" t="inlineStr">
        <is>
          <t xml:space="preserve">Unit Growth %</t>
        </is>
      </c>
      <c r="C7" s="4">
        <f>UnitEcon!C3/UnitEcon!B3-1</f>
        <v>0.015</v>
      </c>
      <c r="D7" s="4">
        <f>UnitEcon!D3/UnitEcon!C3-1</f>
        <v>0.015</v>
      </c>
      <c r="E7" s="4">
        <f>UnitEcon!E3/UnitEcon!D3-1</f>
        <v>0.015</v>
      </c>
      <c r="F7" s="4">
        <f>UnitEcon!F3/UnitEcon!E3-1</f>
        <v>0.015</v>
      </c>
    </row>
    <row r="8">
      <c r="A8" s="0" t="inlineStr">
        <is>
          <t xml:space="preserve">% Franchised</t>
        </is>
      </c>
      <c r="B8" s="4">
        <f>UnitEcon!B9</f>
        <v>0.984615</v>
      </c>
      <c r="C8" s="4">
        <f>UnitEcon!C9</f>
        <v>0.986358</v>
      </c>
      <c r="D8" s="4">
        <f>UnitEcon!D9</f>
        <v>0.988053</v>
      </c>
      <c r="E8" s="4">
        <f>UnitEcon!E9</f>
        <v>0.989211</v>
      </c>
      <c r="F8" s="4">
        <f>UnitEcon!F9</f>
        <v>0.990337</v>
      </c>
    </row>
    <row r="9">
      <c r="A9" s="0" t="inlineStr">
        <is>
          <t xml:space="preserve">AUV - System ($M)</t>
        </is>
      </c>
      <c r="B9" s="12">
        <f>UnitEcon!B11</f>
        <v>1.35</v>
      </c>
      <c r="C9" s="12">
        <f>UnitEcon!C11</f>
        <v>1.39725</v>
      </c>
      <c r="D9" s="12">
        <f>UnitEcon!D11</f>
        <v>1.439167</v>
      </c>
      <c r="E9" s="12">
        <f>UnitEcon!E11</f>
        <v>1.475147</v>
      </c>
      <c r="F9" s="12">
        <f>UnitEcon!F11</f>
        <v>1.512025</v>
      </c>
    </row>
    <row r="10">
      <c r="A10" s="0" t="inlineStr">
        <is>
          <t xml:space="preserve">Same-Store Sales %</t>
        </is>
      </c>
      <c r="B10" s="4">
        <f>Assumptions!B3</f>
        <v>0.03</v>
      </c>
      <c r="C10" s="4">
        <f>Assumptions!C3</f>
        <v>0.035</v>
      </c>
      <c r="D10" s="4">
        <f>Assumptions!D3</f>
        <v>0.03</v>
      </c>
      <c r="E10" s="4">
        <f>Assumptions!E3</f>
        <v>0.025</v>
      </c>
      <c r="F10" s="4">
        <f>Assumptions!F3</f>
        <v>0.025</v>
      </c>
    </row>
    <row r="11">
      <c r="A11" s="14" t="inlineStr">
        <is>
          <t xml:space="preserve">PROFITABILITY</t>
        </is>
      </c>
      <c r="B11" s="14"/>
      <c r="C11" s="14"/>
      <c r="D11" s="14"/>
      <c r="E11" s="14"/>
      <c r="F11" s="14"/>
    </row>
    <row r="12">
      <c r="A12" s="0" t="inlineStr">
        <is>
          <t xml:space="preserve">Total Revenue ($M)</t>
        </is>
      </c>
      <c r="B12" s="2">
        <f>IS!B7</f>
        <v>1999.08</v>
      </c>
      <c r="C12" s="2">
        <f>IS!C7</f>
        <v>2054.843007</v>
      </c>
      <c r="D12" s="2">
        <f>IS!D7</f>
        <v>2102.245693</v>
      </c>
      <c r="E12" s="2">
        <f>IS!E7</f>
        <v>2154.451429</v>
      </c>
      <c r="F12" s="2">
        <f>IS!F7</f>
        <v>2208.373872</v>
      </c>
    </row>
    <row r="13">
      <c r="A13" s="0" t="inlineStr">
        <is>
          <t xml:space="preserve">Revenue Growth %</t>
        </is>
      </c>
      <c r="C13" s="4">
        <f>IS!C7/IS!B7-1</f>
        <v>0.027894</v>
      </c>
      <c r="D13" s="4">
        <f>IS!D7/IS!C7-1</f>
        <v>0.023069</v>
      </c>
      <c r="E13" s="4">
        <f>IS!E7/IS!D7-1</f>
        <v>0.024833</v>
      </c>
      <c r="F13" s="4">
        <f>IS!F7/IS!E7-1</f>
        <v>0.025028</v>
      </c>
    </row>
    <row r="14">
      <c r="A14" s="0" t="inlineStr">
        <is>
          <t xml:space="preserve">Adjusted EBITDA ($M)</t>
        </is>
      </c>
      <c r="B14" s="2">
        <f>IS!B13</f>
        <v>1064.9556</v>
      </c>
      <c r="C14" s="2">
        <f>IS!C13</f>
        <v>1118.295133</v>
      </c>
      <c r="D14" s="2">
        <f>IS!D13</f>
        <v>1168.646556</v>
      </c>
      <c r="E14" s="2">
        <f>IS!E13</f>
        <v>1215.493145</v>
      </c>
      <c r="F14" s="2">
        <f>IS!F13</f>
        <v>1264.227124</v>
      </c>
    </row>
    <row r="15">
      <c r="A15" s="0" t="inlineStr">
        <is>
          <t xml:space="preserve">EBITDA Margin %</t>
        </is>
      </c>
      <c r="B15" s="4">
        <f>IS!B14</f>
        <v>0.532723</v>
      </c>
      <c r="C15" s="4">
        <f>IS!C14</f>
        <v>0.544224</v>
      </c>
      <c r="D15" s="4">
        <f>IS!D14</f>
        <v>0.555904</v>
      </c>
      <c r="E15" s="4">
        <f>IS!E14</f>
        <v>0.564178</v>
      </c>
      <c r="F15" s="4">
        <f>IS!F14</f>
        <v>0.57247</v>
      </c>
    </row>
    <row r="16">
      <c r="A16" s="0" t="inlineStr">
        <is>
          <t xml:space="preserve">Restaurant-Level Margin %</t>
        </is>
      </c>
      <c r="B16" s="4">
        <f>UnitEcon!B20</f>
        <v>0.18</v>
      </c>
      <c r="C16" s="4">
        <f>UnitEcon!C20</f>
        <v>0.18</v>
      </c>
      <c r="D16" s="4">
        <f>UnitEcon!D20</f>
        <v>0.18</v>
      </c>
      <c r="E16" s="4">
        <f>UnitEcon!E20</f>
        <v>0.18</v>
      </c>
      <c r="F16" s="4">
        <f>UnitEcon!F20</f>
        <v>0.18</v>
      </c>
    </row>
    <row r="17">
      <c r="A17" s="0" t="inlineStr">
        <is>
          <t xml:space="preserve">Net Income ($M)</t>
        </is>
      </c>
      <c r="B17" s="2">
        <f>IS!B20</f>
        <v>549.058532</v>
      </c>
      <c r="C17" s="2">
        <f>IS!C20</f>
        <v>596.453597</v>
      </c>
      <c r="D17" s="2">
        <f>IS!D20</f>
        <v>641.884334</v>
      </c>
      <c r="E17" s="2">
        <f>IS!E20</f>
        <v>684.318586</v>
      </c>
      <c r="F17" s="2">
        <f>IS!F20</f>
        <v>728.162506</v>
      </c>
    </row>
    <row r="18">
      <c r="A18" s="0" t="inlineStr">
        <is>
          <t xml:space="preserve">Net Margin %</t>
        </is>
      </c>
      <c r="B18" s="4">
        <f>IS!B20/IS!B7</f>
        <v>0.274656</v>
      </c>
      <c r="C18" s="4">
        <f>IS!C20/IS!C7</f>
        <v>0.290267</v>
      </c>
      <c r="D18" s="4">
        <f>IS!D20/IS!D7</f>
        <v>0.305333</v>
      </c>
      <c r="E18" s="4">
        <f>IS!E20/IS!E7</f>
        <v>0.31763</v>
      </c>
      <c r="F18" s="4">
        <f>IS!F20/IS!F7</f>
        <v>0.329728</v>
      </c>
    </row>
    <row r="19">
      <c r="A19" s="0" t="inlineStr">
        <is>
          <t xml:space="preserve">EPS ($)</t>
        </is>
      </c>
      <c r="B19" s="11">
        <f>IS!B21</f>
        <v>1.715808</v>
      </c>
      <c r="C19" s="11">
        <f>IS!C21</f>
        <v>1.863917</v>
      </c>
      <c r="D19" s="11">
        <f>IS!D21</f>
        <v>2.005889</v>
      </c>
      <c r="E19" s="11">
        <f>IS!E21</f>
        <v>2.138496</v>
      </c>
      <c r="F19" s="11">
        <f>IS!F21</f>
        <v>2.275508</v>
      </c>
    </row>
    <row r="20">
      <c r="A20" s="0" t="inlineStr">
        <is>
          <t xml:space="preserve">Royalty Revenue ($M)</t>
        </is>
      </c>
      <c r="B20" s="2">
        <f>IS!B4</f>
        <v>1166.4</v>
      </c>
      <c r="C20" s="2">
        <f>IS!C4</f>
        <v>1227.501591</v>
      </c>
      <c r="D20" s="2">
        <f>IS!D4</f>
        <v>1285.496702</v>
      </c>
      <c r="E20" s="2">
        <f>IS!E4</f>
        <v>1338.965237</v>
      </c>
      <c r="F20" s="2">
        <f>IS!F4</f>
        <v>1394.611318</v>
      </c>
    </row>
    <row r="21">
      <c r="A21" s="0" t="inlineStr">
        <is>
          <t xml:space="preserve">Effective Royalty Rate %</t>
        </is>
      </c>
      <c r="B21" s="4">
        <f>IS!B4/UnitEcon!B12</f>
        <v>0.044308</v>
      </c>
      <c r="C21" s="4">
        <f>IS!C4/UnitEcon!C12</f>
        <v>0.044386</v>
      </c>
      <c r="D21" s="4">
        <f>IS!D4/UnitEcon!D12</f>
        <v>0.044462</v>
      </c>
      <c r="E21" s="4">
        <f>IS!E4/UnitEcon!E12</f>
        <v>0.044514</v>
      </c>
      <c r="F21" s="4">
        <f>IS!F4/UnitEcon!F12</f>
        <v>0.044565</v>
      </c>
    </row>
    <row r="22">
      <c r="A22" s="14" t="inlineStr">
        <is>
          <t xml:space="preserve">RETURNS &amp; EFFICIENCY</t>
        </is>
      </c>
      <c r="B22" s="14"/>
      <c r="C22" s="14"/>
      <c r="D22" s="14"/>
      <c r="E22" s="14"/>
      <c r="F22" s="14"/>
    </row>
    <row r="23">
      <c r="A23" s="0" t="inlineStr">
        <is>
          <t xml:space="preserve">ROE %</t>
        </is>
      </c>
      <c r="B23" s="4">
        <f>IS!B20/BS!B30</f>
        <v>0.145639</v>
      </c>
      <c r="C23" s="4">
        <f>IS!C20/BS!C30</f>
        <v>0.144494</v>
      </c>
      <c r="D23" s="4">
        <f>IS!D20/BS!D30</f>
        <v>0.14223</v>
      </c>
      <c r="E23" s="4">
        <f>IS!E20/BS!E30</f>
        <v>0.138987</v>
      </c>
      <c r="F23" s="4">
        <f>IS!F20/BS!F30</f>
        <v>0.135839</v>
      </c>
    </row>
    <row r="24">
      <c r="A24" s="0" t="inlineStr">
        <is>
          <t xml:space="preserve">ROA %</t>
        </is>
      </c>
      <c r="B24" s="4">
        <f>IS!B20/BS!B13</f>
        <v>0.050839</v>
      </c>
      <c r="C24" s="4">
        <f>IS!C20/BS!C13</f>
        <v>0.054402</v>
      </c>
      <c r="D24" s="4">
        <f>IS!D20/BS!D13</f>
        <v>0.057546</v>
      </c>
      <c r="E24" s="4">
        <f>IS!E20/BS!E13</f>
        <v>0.060183</v>
      </c>
      <c r="F24" s="4">
        <f>IS!F20/BS!F13</f>
        <v>0.0627</v>
      </c>
    </row>
    <row r="25">
      <c r="A25" s="0" t="inlineStr">
        <is>
          <t xml:space="preserve">ROIC %</t>
        </is>
      </c>
      <c r="B25" s="4">
        <f>IS!B16*(1-Assumptions!B18)/(BS!B17+BS!B20+BS!B30-BS!B3)</f>
        <v>0.096082</v>
      </c>
      <c r="C25" s="4">
        <f>IS!C16*(1-Assumptions!C18)/(BS!C17+BS!C20+BS!C30-BS!C3)</f>
        <v>0.10118</v>
      </c>
      <c r="D25" s="4">
        <f>IS!D16*(1-Assumptions!D18)/(BS!D17+BS!D20+BS!D30-BS!D3)</f>
        <v>0.105984</v>
      </c>
      <c r="E25" s="4">
        <f>IS!E16*(1-Assumptions!E18)/(BS!E17+BS!E20+BS!E30-BS!E3)</f>
        <v>0.11036</v>
      </c>
      <c r="F25" s="4">
        <f>IS!F16*(1-Assumptions!F18)/(BS!F17+BS!F20+BS!F30-BS!F3)</f>
        <v>0.114869</v>
      </c>
    </row>
    <row r="26">
      <c r="A26" s="0" t="inlineStr">
        <is>
          <t xml:space="preserve">G&amp;A % of System Sales</t>
        </is>
      </c>
      <c r="B26" s="4">
        <f>IS!B11/UnitEcon!B12</f>
        <v>0.009872</v>
      </c>
      <c r="C26" s="4">
        <f>IS!C11/UnitEcon!C12</f>
        <v>0.009659</v>
      </c>
      <c r="D26" s="4">
        <f>IS!D11/UnitEcon!D12</f>
        <v>0.009453</v>
      </c>
      <c r="E26" s="4">
        <f>IS!E11/UnitEcon!E12</f>
        <v>0.009311</v>
      </c>
      <c r="F26" s="4">
        <f>IS!F11/UnitEcon!F12</f>
        <v>0.009174</v>
      </c>
    </row>
    <row r="27">
      <c r="A27" s="0" t="inlineStr">
        <is>
          <t xml:space="preserve">CapEx ($M)</t>
        </is>
      </c>
      <c r="B27" s="2">
        <f>-CF!B6</f>
        <v>117</v>
      </c>
      <c r="C27" s="2">
        <f>-CF!C6</f>
        <v>122.7135</v>
      </c>
      <c r="D27" s="2">
        <f>-CF!D6</f>
        <v>128.57208</v>
      </c>
      <c r="E27" s="2">
        <f>-CF!E6</f>
        <v>134.578807</v>
      </c>
      <c r="F27" s="2">
        <f>-CF!F6</f>
        <v>140.736807</v>
      </c>
    </row>
    <row r="28">
      <c r="A28" s="0" t="inlineStr">
        <is>
          <t xml:space="preserve">CapEx % of Revenue</t>
        </is>
      </c>
      <c r="B28" s="4">
        <f>-CF!B6/IS!B7</f>
        <v>0.058527</v>
      </c>
      <c r="C28" s="4">
        <f>-CF!C6/IS!C7</f>
        <v>0.059719</v>
      </c>
      <c r="D28" s="4">
        <f>-CF!D6/IS!D7</f>
        <v>0.061159</v>
      </c>
      <c r="E28" s="4">
        <f>-CF!E6/IS!E7</f>
        <v>0.062465</v>
      </c>
      <c r="F28" s="4">
        <f>-CF!F6/IS!F7</f>
        <v>0.063729</v>
      </c>
    </row>
    <row r="29">
      <c r="A29" s="14" t="inlineStr">
        <is>
          <t xml:space="preserve">CASH &amp; LEVERAGE</t>
        </is>
      </c>
      <c r="B29" s="14"/>
      <c r="C29" s="14"/>
      <c r="D29" s="14"/>
      <c r="E29" s="14"/>
      <c r="F29" s="14"/>
    </row>
    <row r="30">
      <c r="A30" s="0" t="inlineStr">
        <is>
          <t xml:space="preserve">Operating Cash Flow ($M)</t>
        </is>
      </c>
      <c r="B30" s="2">
        <f>CF!B5</f>
        <v>669.955275</v>
      </c>
      <c r="C30" s="2">
        <f>CF!C5</f>
        <v>720.301807</v>
      </c>
      <c r="D30" s="2">
        <f>CF!D5</f>
        <v>768.493102</v>
      </c>
      <c r="E30" s="2">
        <f>CF!E5</f>
        <v>814.10773</v>
      </c>
      <c r="F30" s="2">
        <f>CF!F5</f>
        <v>861.204163</v>
      </c>
    </row>
    <row r="31">
      <c r="A31" s="1" t="inlineStr">
        <is>
          <t xml:space="preserve">Free Cash Flow ($M)</t>
        </is>
      </c>
      <c r="B31" s="3">
        <f>CF!B5+CF!B6</f>
        <v>552.955275</v>
      </c>
      <c r="C31" s="3">
        <f>CF!C5+CF!C6</f>
        <v>597.588307</v>
      </c>
      <c r="D31" s="3">
        <f>CF!D5+CF!D6</f>
        <v>639.921022</v>
      </c>
      <c r="E31" s="3">
        <f>CF!E5+CF!E6</f>
        <v>679.528923</v>
      </c>
      <c r="F31" s="3">
        <f>CF!F5+CF!F6</f>
        <v>720.467356</v>
      </c>
    </row>
    <row r="32">
      <c r="A32" s="0" t="inlineStr">
        <is>
          <t xml:space="preserve">FCF Conversion % (FCF/EBITDA)</t>
        </is>
      </c>
      <c r="B32" s="4">
        <f>(CF!B5+CF!B6)/IS!B13</f>
        <v>0.519228</v>
      </c>
      <c r="C32" s="4">
        <f>(CF!C5+CF!C6)/IS!C13</f>
        <v>0.534374</v>
      </c>
      <c r="D32" s="4">
        <f>(CF!D5+CF!D6)/IS!D13</f>
        <v>0.547574</v>
      </c>
      <c r="E32" s="4">
        <f>(CF!E5+CF!E6)/IS!E13</f>
        <v>0.559056</v>
      </c>
      <c r="F32" s="4">
        <f>(CF!F5+CF!F6)/IS!F13</f>
        <v>0.569888</v>
      </c>
    </row>
    <row r="33">
      <c r="A33" s="0" t="inlineStr">
        <is>
          <t xml:space="preserve">Total Debt ($M)</t>
        </is>
      </c>
      <c r="B33" s="2">
        <f>BS!B17+BS!B20</f>
        <v>5000</v>
      </c>
      <c r="C33" s="2">
        <f>BS!C17+BS!C20</f>
        <v>4800</v>
      </c>
      <c r="D33" s="2">
        <f>BS!D17+BS!D20</f>
        <v>4600</v>
      </c>
      <c r="E33" s="2">
        <f>BS!E17+BS!E20</f>
        <v>4400</v>
      </c>
      <c r="F33" s="2">
        <f>BS!F17+BS!F20</f>
        <v>4200</v>
      </c>
    </row>
    <row r="34">
      <c r="A34" s="0" t="inlineStr">
        <is>
          <t xml:space="preserve">Net Debt ($M)</t>
        </is>
      </c>
      <c r="B34" s="2">
        <f>BS!B17+BS!B20-BS!B3</f>
        <v>4000</v>
      </c>
      <c r="C34" s="2">
        <f>BS!C17+BS!C20-BS!C3</f>
        <v>3640.993132</v>
      </c>
      <c r="D34" s="2">
        <f>BS!D17+BS!D20-BS!D3</f>
        <v>3257.825843</v>
      </c>
      <c r="E34" s="2">
        <f>BS!E17+BS!E20-BS!E3</f>
        <v>2852.024355</v>
      </c>
      <c r="F34" s="2">
        <f>BS!F17+BS!F20-BS!F3</f>
        <v>2422.822001</v>
      </c>
    </row>
    <row r="35">
      <c r="A35" s="0" t="inlineStr">
        <is>
          <t xml:space="preserve">Debt / EBITDA (x)</t>
        </is>
      </c>
      <c r="B35" s="8">
        <f>(BS!B17+BS!B20)/IS!B13</f>
        <v>4.695031</v>
      </c>
      <c r="C35" s="8">
        <f>(BS!C17+BS!C20)/IS!C13</f>
        <v>4.292248</v>
      </c>
      <c r="D35" s="8">
        <f>(BS!D17+BS!D20)/IS!D13</f>
        <v>3.936177</v>
      </c>
      <c r="E35" s="8">
        <f>(BS!E17+BS!E20)/IS!E13</f>
        <v>3.61993</v>
      </c>
      <c r="F35" s="8">
        <f>(BS!F17+BS!F20)/IS!F13</f>
        <v>3.322188</v>
      </c>
    </row>
    <row r="36">
      <c r="A36" s="0" t="inlineStr">
        <is>
          <t xml:space="preserve">Net Debt / EBITDA (x)</t>
        </is>
      </c>
      <c r="B36" s="8">
        <f>(BS!B17+BS!B20-BS!B3)/IS!B13</f>
        <v>3.756025</v>
      </c>
      <c r="C36" s="8">
        <f>(BS!C17+BS!C20-BS!C3)/IS!C13</f>
        <v>3.255843</v>
      </c>
      <c r="D36" s="8">
        <f>(BS!D17+BS!D20-BS!D3)/IS!D13</f>
        <v>2.787691</v>
      </c>
      <c r="E36" s="8">
        <f>(BS!E17+BS!E20-BS!E3)/IS!E13</f>
        <v>2.346393</v>
      </c>
      <c r="F36" s="8">
        <f>(BS!F17+BS!F20-BS!F3)/IS!F13</f>
        <v>1.916445</v>
      </c>
    </row>
    <row r="37">
      <c r="A37" s="0" t="inlineStr">
        <is>
          <t xml:space="preserve">Interest Coverage (x)</t>
        </is>
      </c>
      <c r="B37" s="8">
        <f>IS!B16/IS!B17</f>
        <v>3.780043</v>
      </c>
      <c r="C37" s="8">
        <f>IS!C16/IS!C17</f>
        <v>4.145852</v>
      </c>
      <c r="D37" s="8">
        <f>IS!D16/IS!D17</f>
        <v>4.53266</v>
      </c>
      <c r="E37" s="8">
        <f>IS!E16/IS!E17</f>
        <v>4.937391</v>
      </c>
      <c r="F37" s="8">
        <f>IS!F16/IS!F17</f>
        <v>5.389165</v>
      </c>
    </row>
    <row r="38">
      <c r="A38" s="0" t="inlineStr">
        <is>
          <t xml:space="preserve">Dividends ($M)</t>
        </is>
      </c>
      <c r="B38" s="2">
        <f>-CF!B9</f>
        <v>219.623413</v>
      </c>
      <c r="C38" s="2">
        <f>-CF!C9</f>
        <v>238.581439</v>
      </c>
      <c r="D38" s="2">
        <f>-CF!D9</f>
        <v>256.753733</v>
      </c>
      <c r="E38" s="2">
        <f>-CF!E9</f>
        <v>273.727435</v>
      </c>
      <c r="F38" s="2">
        <f>-CF!F9</f>
        <v>291.265002</v>
      </c>
    </row>
    <row r="39">
      <c r="A39" s="0" t="inlineStr">
        <is>
          <t xml:space="preserve">Dividend Payout %</t>
        </is>
      </c>
      <c r="B39" s="4">
        <f>-CF!B9/IS!B20</f>
        <v>0.4</v>
      </c>
      <c r="C39" s="4">
        <f>-CF!C9/IS!C20</f>
        <v>0.4</v>
      </c>
      <c r="D39" s="4">
        <f>-CF!D9/IS!D20</f>
        <v>0.4</v>
      </c>
      <c r="E39" s="4">
        <f>-CF!E9/IS!E20</f>
        <v>0.4</v>
      </c>
      <c r="F39" s="4">
        <f>-CF!F9/IS!F20</f>
        <v>0.4</v>
      </c>
    </row>
    <row r="40">
      <c r="A40" s="0" t="inlineStr">
        <is>
          <t xml:space="preserve">Dividend per Share ($)</t>
        </is>
      </c>
      <c r="B40" s="11">
        <f>-CF!B9/Assumptions!B23</f>
        <v>0.686323</v>
      </c>
      <c r="C40" s="11">
        <f>-CF!C9/Assumptions!C23</f>
        <v>0.745567</v>
      </c>
      <c r="D40" s="11">
        <f>-CF!D9/Assumptions!D23</f>
        <v>0.802355</v>
      </c>
      <c r="E40" s="11">
        <f>-CF!E9/Assumptions!E23</f>
        <v>0.855398</v>
      </c>
      <c r="F40" s="11">
        <f>-CF!F9/Assumptions!F23</f>
        <v>0.910203</v>
      </c>
    </row>
  </sheetData>
</worksheet>
</file>